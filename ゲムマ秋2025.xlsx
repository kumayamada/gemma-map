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aiy\OneDrive\デスクトップ\GemmaMap\"/>
    </mc:Choice>
  </mc:AlternateContent>
  <xr:revisionPtr revIDLastSave="0" documentId="13_ncr:1_{F5B1959E-BBA7-4270-8C6C-35A55F2312B9}" xr6:coauthVersionLast="47" xr6:coauthVersionMax="47" xr10:uidLastSave="{00000000-0000-0000-0000-000000000000}"/>
  <bookViews>
    <workbookView xWindow="3900" yWindow="3360" windowWidth="25380" windowHeight="16065" xr2:uid="{197FF4AD-3C28-43BC-A079-583C22D7E92F}"/>
  </bookViews>
  <sheets>
    <sheet name="ゲムマ2025秋" sheetId="1" r:id="rId1"/>
    <sheet name="ゲムマとは別" sheetId="3" r:id="rId2"/>
    <sheet name="Sheet2" sheetId="2" r:id="rId3"/>
  </sheets>
  <definedNames>
    <definedName name="_xlnm._FilterDatabase" localSheetId="0" hidden="1">ゲムマ2025秋!$A$6:$N$67</definedName>
    <definedName name="_xlnm._FilterDatabase" localSheetId="1" hidden="1">ゲムマとは別!$D$1:$D$160</definedName>
    <definedName name="_xlnm.Print_Area" localSheetId="0">ゲムマ2025秋!$A$1:$N$89</definedName>
    <definedName name="Z_0E5D33F0_BC23_4399_92CD_EF31042EBC92_.wvu.FilterData" localSheetId="0" hidden="1">ゲムマ2025秋!$D$5:$D$166</definedName>
    <definedName name="Z_0E5D33F0_BC23_4399_92CD_EF31042EBC92_.wvu.FilterData" localSheetId="1" hidden="1">ゲムマとは別!$D$1:$D$160</definedName>
    <definedName name="Z_27738404_9CAA_4C2F_B47E_7042EBAF63EC_.wvu.FilterData" localSheetId="0" hidden="1">ゲムマ2025秋!$D$5:$D$166</definedName>
    <definedName name="Z_27738404_9CAA_4C2F_B47E_7042EBAF63EC_.wvu.FilterData" localSheetId="1" hidden="1">ゲムマとは別!$D$1:$D$160</definedName>
    <definedName name="Z_36A2511D_61A6_43A6_8702_C203B803AC12_.wvu.FilterData" localSheetId="0" hidden="1">ゲムマ2025秋!$D$5:$D$166</definedName>
    <definedName name="Z_36A2511D_61A6_43A6_8702_C203B803AC12_.wvu.FilterData" localSheetId="1" hidden="1">ゲムマとは別!$D$1:$D$160</definedName>
  </definedNames>
  <calcPr calcId="191028"/>
  <customWorkbookViews>
    <customWorkbookView name="pytho - 個人用ビュー" guid="{0E5D33F0-BC23-4399-92CD-EF31042EBC92}" mergeInterval="0" personalView="1" maximized="1" xWindow="1912" yWindow="-51" windowWidth="1936" windowHeight="1048" activeSheetId="1"/>
    <customWorkbookView name="acaiy - 個人用ビュー" guid="{36A2511D-61A6-43A6-8702-C203B803AC12}" mergeInterval="0" personalView="1" maximized="1" xWindow="-8" yWindow="-8" windowWidth="2272" windowHeight="1472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B3" i="1"/>
  <c r="B2" i="1"/>
  <c r="B4" i="1" l="1"/>
</calcChain>
</file>

<file path=xl/sharedStrings.xml><?xml version="1.0" encoding="utf-8"?>
<sst xmlns="http://schemas.openxmlformats.org/spreadsheetml/2006/main" count="646" uniqueCount="276">
  <si>
    <t>日程</t>
    <rPh sb="0" eb="2">
      <t>ニッテイ</t>
    </rPh>
    <phoneticPr fontId="1"/>
  </si>
  <si>
    <t>ゲーム</t>
    <phoneticPr fontId="1"/>
  </si>
  <si>
    <t>予算合計</t>
    <rPh sb="0" eb="4">
      <t>ヨサンゴウケイ</t>
    </rPh>
    <phoneticPr fontId="1"/>
  </si>
  <si>
    <t>日付</t>
    <rPh sb="0" eb="2">
      <t>ヒヅケ</t>
    </rPh>
    <phoneticPr fontId="1"/>
  </si>
  <si>
    <t>場所</t>
    <rPh sb="0" eb="2">
      <t>バショ</t>
    </rPh>
    <phoneticPr fontId="1"/>
  </si>
  <si>
    <t>時間</t>
    <rPh sb="0" eb="2">
      <t>ジカン</t>
    </rPh>
    <phoneticPr fontId="1"/>
  </si>
  <si>
    <t>状況</t>
    <rPh sb="0" eb="2">
      <t>ジョウキョウ</t>
    </rPh>
    <phoneticPr fontId="1"/>
  </si>
  <si>
    <t>サークル名</t>
    <rPh sb="4" eb="5">
      <t>メイ</t>
    </rPh>
    <phoneticPr fontId="1"/>
  </si>
  <si>
    <t>ゲーム名</t>
    <rPh sb="3" eb="4">
      <t>メイ</t>
    </rPh>
    <phoneticPr fontId="1"/>
  </si>
  <si>
    <t>人数</t>
    <rPh sb="0" eb="2">
      <t>ニンズウ</t>
    </rPh>
    <phoneticPr fontId="1"/>
  </si>
  <si>
    <t>価格</t>
    <rPh sb="0" eb="2">
      <t>カカク</t>
    </rPh>
    <phoneticPr fontId="1"/>
  </si>
  <si>
    <t>予約</t>
    <rPh sb="0" eb="2">
      <t>ヨヤク</t>
    </rPh>
    <phoneticPr fontId="1"/>
  </si>
  <si>
    <t>備考</t>
    <rPh sb="0" eb="2">
      <t>ビコウ</t>
    </rPh>
    <phoneticPr fontId="1"/>
  </si>
  <si>
    <t>両日</t>
    <rPh sb="0" eb="2">
      <t>リョウジツ</t>
    </rPh>
    <phoneticPr fontId="1"/>
  </si>
  <si>
    <t>書籍</t>
    <rPh sb="0" eb="2">
      <t>ショセキ</t>
    </rPh>
    <phoneticPr fontId="1"/>
  </si>
  <si>
    <t>パズル</t>
    <phoneticPr fontId="1"/>
  </si>
  <si>
    <t>調べる</t>
    <rPh sb="0" eb="1">
      <t>シラ</t>
    </rPh>
    <phoneticPr fontId="1"/>
  </si>
  <si>
    <t>30min</t>
    <phoneticPr fontId="1"/>
  </si>
  <si>
    <t>対戦</t>
    <rPh sb="0" eb="2">
      <t>タイセン</t>
    </rPh>
    <phoneticPr fontId="1"/>
  </si>
  <si>
    <t>60min</t>
    <phoneticPr fontId="1"/>
  </si>
  <si>
    <t>マダミス</t>
    <phoneticPr fontId="1"/>
  </si>
  <si>
    <t>１５min</t>
    <phoneticPr fontId="1"/>
  </si>
  <si>
    <t>協力</t>
    <rPh sb="0" eb="2">
      <t>キョウリョク</t>
    </rPh>
    <phoneticPr fontId="1"/>
  </si>
  <si>
    <t>検討中</t>
    <rPh sb="0" eb="3">
      <t>ケントウチュウ</t>
    </rPh>
    <phoneticPr fontId="1"/>
  </si>
  <si>
    <t>購入予定</t>
    <rPh sb="0" eb="4">
      <t>コウニュウヨテイ</t>
    </rPh>
    <phoneticPr fontId="1"/>
  </si>
  <si>
    <t>20min</t>
    <phoneticPr fontId="1"/>
  </si>
  <si>
    <t>予約済み</t>
    <rPh sb="0" eb="3">
      <t>ヨヤクズ</t>
    </rPh>
    <phoneticPr fontId="1"/>
  </si>
  <si>
    <t>ソロ</t>
    <phoneticPr fontId="1"/>
  </si>
  <si>
    <t>20min～</t>
    <phoneticPr fontId="1"/>
  </si>
  <si>
    <t>デッキ構築</t>
    <rPh sb="3" eb="5">
      <t>コウチク</t>
    </rPh>
    <phoneticPr fontId="1"/>
  </si>
  <si>
    <t>30min～</t>
    <phoneticPr fontId="1"/>
  </si>
  <si>
    <t>？</t>
    <phoneticPr fontId="1"/>
  </si>
  <si>
    <t>ワーカープレイスメント</t>
    <phoneticPr fontId="1"/>
  </si>
  <si>
    <t>11/22(土)</t>
    <rPh sb="6" eb="7">
      <t>ド</t>
    </rPh>
    <phoneticPr fontId="1"/>
  </si>
  <si>
    <t>11/23(日)</t>
    <rPh sb="6" eb="7">
      <t>ニチ</t>
    </rPh>
    <phoneticPr fontId="1"/>
  </si>
  <si>
    <t>１人</t>
    <rPh sb="1" eb="2">
      <t>ヒト</t>
    </rPh>
    <phoneticPr fontId="1"/>
  </si>
  <si>
    <t>２人</t>
    <rPh sb="1" eb="2">
      <t>ヒト</t>
    </rPh>
    <phoneticPr fontId="1"/>
  </si>
  <si>
    <t>その他</t>
    <rPh sb="2" eb="3">
      <t>タ</t>
    </rPh>
    <phoneticPr fontId="1"/>
  </si>
  <si>
    <t>１人～</t>
    <rPh sb="1" eb="2">
      <t>ヒト</t>
    </rPh>
    <phoneticPr fontId="1"/>
  </si>
  <si>
    <t>２人～</t>
    <rPh sb="1" eb="2">
      <t>ヒト</t>
    </rPh>
    <phoneticPr fontId="1"/>
  </si>
  <si>
    <t>大分類</t>
    <rPh sb="0" eb="1">
      <t>ダイ</t>
    </rPh>
    <rPh sb="1" eb="3">
      <t>ブンルイ</t>
    </rPh>
    <phoneticPr fontId="1"/>
  </si>
  <si>
    <t>小分類</t>
    <rPh sb="0" eb="3">
      <t>ショウブンルイ</t>
    </rPh>
    <phoneticPr fontId="1"/>
  </si>
  <si>
    <t>グッズ</t>
    <phoneticPr fontId="1"/>
  </si>
  <si>
    <t>大分類</t>
    <rPh sb="0" eb="3">
      <t>ダイブンルイ</t>
    </rPh>
    <phoneticPr fontId="1"/>
  </si>
  <si>
    <t>TCG</t>
    <phoneticPr fontId="1"/>
  </si>
  <si>
    <t>推論</t>
    <rPh sb="0" eb="2">
      <t>スイロン</t>
    </rPh>
    <phoneticPr fontId="1"/>
  </si>
  <si>
    <t>イラスト集</t>
    <rPh sb="4" eb="5">
      <t>シュウ</t>
    </rPh>
    <phoneticPr fontId="1"/>
  </si>
  <si>
    <t>トリテ</t>
    <phoneticPr fontId="1"/>
  </si>
  <si>
    <t>タイル配置</t>
    <rPh sb="3" eb="5">
      <t>ハイチ</t>
    </rPh>
    <phoneticPr fontId="1"/>
  </si>
  <si>
    <t>エリアマジョリティー</t>
    <phoneticPr fontId="1"/>
  </si>
  <si>
    <t>ローグライク</t>
    <phoneticPr fontId="1"/>
  </si>
  <si>
    <t>ミステリー</t>
    <phoneticPr fontId="1"/>
  </si>
  <si>
    <t>アブストラクト</t>
    <phoneticPr fontId="1"/>
  </si>
  <si>
    <t>反射神経</t>
    <rPh sb="0" eb="4">
      <t>ハンシャシンケイ</t>
    </rPh>
    <phoneticPr fontId="1"/>
  </si>
  <si>
    <t>無</t>
    <rPh sb="0" eb="1">
      <t>ナシ</t>
    </rPh>
    <phoneticPr fontId="1"/>
  </si>
  <si>
    <t>完了</t>
    <rPh sb="0" eb="2">
      <t>カンリョウ</t>
    </rPh>
    <phoneticPr fontId="1"/>
  </si>
  <si>
    <t>有(未完了)</t>
    <rPh sb="0" eb="1">
      <t>アリ</t>
    </rPh>
    <rPh sb="2" eb="3">
      <t>ミ</t>
    </rPh>
    <rPh sb="3" eb="5">
      <t>カンリョウ</t>
    </rPh>
    <phoneticPr fontId="1"/>
  </si>
  <si>
    <t>？</t>
  </si>
  <si>
    <t>WicFluffy（ウィック・フラフィー）</t>
    <phoneticPr fontId="1"/>
  </si>
  <si>
    <t>予約名：オオタ</t>
    <rPh sb="0" eb="3">
      <t>ヨヤクメイ</t>
    </rPh>
    <phoneticPr fontId="1"/>
  </si>
  <si>
    <t>ぺろまる工房</t>
    <rPh sb="4" eb="6">
      <t>コウボウ</t>
    </rPh>
    <phoneticPr fontId="1"/>
  </si>
  <si>
    <t>40min</t>
    <phoneticPr fontId="1"/>
  </si>
  <si>
    <t>戦略</t>
    <rPh sb="0" eb="2">
      <t>センリャク</t>
    </rPh>
    <phoneticPr fontId="1"/>
  </si>
  <si>
    <t>ライナーノート</t>
    <phoneticPr fontId="1"/>
  </si>
  <si>
    <t>ワイルドハントフェス第4版</t>
    <phoneticPr fontId="1"/>
  </si>
  <si>
    <t>15:00迄</t>
    <rPh sb="5" eb="6">
      <t>マデ</t>
    </rPh>
    <phoneticPr fontId="1"/>
  </si>
  <si>
    <t>14:００迄</t>
    <rPh sb="5" eb="6">
      <t>マデ</t>
    </rPh>
    <phoneticPr fontId="1"/>
  </si>
  <si>
    <t>予約名：太田、A028</t>
    <rPh sb="0" eb="2">
      <t>ヨヤク</t>
    </rPh>
    <rPh sb="2" eb="3">
      <t>メイ</t>
    </rPh>
    <rPh sb="4" eb="6">
      <t>オオタ</t>
    </rPh>
    <phoneticPr fontId="1"/>
  </si>
  <si>
    <t>11:00～12:00</t>
    <phoneticPr fontId="1"/>
  </si>
  <si>
    <t>ryuseigames</t>
    <phoneticPr fontId="1"/>
  </si>
  <si>
    <t>マジックワンズ</t>
    <phoneticPr fontId="1"/>
  </si>
  <si>
    <t>ダイヤモンドロード</t>
    <phoneticPr fontId="1"/>
  </si>
  <si>
    <t>モンスタービオトープ</t>
    <phoneticPr fontId="1"/>
  </si>
  <si>
    <t>拡大再生産</t>
    <rPh sb="0" eb="5">
      <t>カクダイサイセイサン</t>
    </rPh>
    <phoneticPr fontId="1"/>
  </si>
  <si>
    <t>心理戦</t>
    <rPh sb="0" eb="3">
      <t>シンリセン</t>
    </rPh>
    <phoneticPr fontId="1"/>
  </si>
  <si>
    <t>セットコレクション</t>
  </si>
  <si>
    <t>セットコレクション</t>
    <phoneticPr fontId="1"/>
  </si>
  <si>
    <t>パズル</t>
  </si>
  <si>
    <t>扇舞</t>
    <rPh sb="0" eb="1">
      <t>オオギ</t>
    </rPh>
    <rPh sb="1" eb="2">
      <t>マイ</t>
    </rPh>
    <phoneticPr fontId="1"/>
  </si>
  <si>
    <t>HoF　GAMES</t>
    <phoneticPr fontId="1"/>
  </si>
  <si>
    <t>K*</t>
    <phoneticPr fontId="1"/>
  </si>
  <si>
    <t>Splentia　輝きの国</t>
    <rPh sb="9" eb="10">
      <t>カガヤ</t>
    </rPh>
    <rPh sb="12" eb="13">
      <t>クニ</t>
    </rPh>
    <phoneticPr fontId="1"/>
  </si>
  <si>
    <t>16:00迄</t>
    <rPh sb="5" eb="6">
      <t>マデ</t>
    </rPh>
    <phoneticPr fontId="1"/>
  </si>
  <si>
    <t>PhantomLab</t>
    <phoneticPr fontId="1"/>
  </si>
  <si>
    <t>アストライオス：スターライト</t>
    <phoneticPr fontId="1"/>
  </si>
  <si>
    <t>ルミナスペル</t>
    <phoneticPr fontId="1"/>
  </si>
  <si>
    <t>25min～</t>
    <phoneticPr fontId="1"/>
  </si>
  <si>
    <t>parkoon</t>
    <phoneticPr fontId="1"/>
  </si>
  <si>
    <t>totto tottino</t>
    <phoneticPr fontId="1"/>
  </si>
  <si>
    <t>予約すれば１９００円</t>
    <rPh sb="0" eb="2">
      <t>ヨヤク</t>
    </rPh>
    <rPh sb="9" eb="10">
      <t>エン</t>
    </rPh>
    <phoneticPr fontId="1"/>
  </si>
  <si>
    <t>終了１時間前まで</t>
    <rPh sb="0" eb="2">
      <t>シュウリョウ</t>
    </rPh>
    <rPh sb="3" eb="5">
      <t>ジカン</t>
    </rPh>
    <rPh sb="5" eb="6">
      <t>マエ</t>
    </rPh>
    <phoneticPr fontId="1"/>
  </si>
  <si>
    <t>シュプールノート</t>
    <phoneticPr fontId="1"/>
  </si>
  <si>
    <t>１４games</t>
    <phoneticPr fontId="1"/>
  </si>
  <si>
    <t>スノープランナーの人</t>
    <rPh sb="9" eb="10">
      <t>ヒト</t>
    </rPh>
    <phoneticPr fontId="1"/>
  </si>
  <si>
    <t>てねずっとgames</t>
    <phoneticPr fontId="1"/>
  </si>
  <si>
    <t>大きそうなかぶ</t>
    <rPh sb="0" eb="1">
      <t>オオ</t>
    </rPh>
    <phoneticPr fontId="1"/>
  </si>
  <si>
    <t>シエラゲームズ</t>
    <phoneticPr fontId="1"/>
  </si>
  <si>
    <t>メゾンドナイトメア</t>
    <phoneticPr fontId="1"/>
  </si>
  <si>
    <t>45min～</t>
    <phoneticPr fontId="1"/>
  </si>
  <si>
    <t>fofofo games</t>
    <phoneticPr fontId="1"/>
  </si>
  <si>
    <t>ひらがなが読みたくて！</t>
    <rPh sb="5" eb="6">
      <t>ヨ</t>
    </rPh>
    <phoneticPr fontId="1"/>
  </si>
  <si>
    <t>イオピーゲームズ</t>
    <phoneticPr fontId="1"/>
  </si>
  <si>
    <t>賢者の数字</t>
    <rPh sb="0" eb="2">
      <t>ケンジャ</t>
    </rPh>
    <rPh sb="3" eb="5">
      <t>スウジ</t>
    </rPh>
    <phoneticPr fontId="1"/>
  </si>
  <si>
    <t>ファンタジーランクマスター</t>
    <phoneticPr fontId="1"/>
  </si>
  <si>
    <t>okazubrand</t>
    <phoneticPr fontId="1"/>
  </si>
  <si>
    <t>ボムバスターの人</t>
    <rPh sb="7" eb="8">
      <t>ヒト</t>
    </rPh>
    <phoneticPr fontId="1"/>
  </si>
  <si>
    <t>さらサーチ</t>
    <phoneticPr fontId="1"/>
  </si>
  <si>
    <t>コンコード</t>
    <phoneticPr fontId="1"/>
  </si>
  <si>
    <t>１０min</t>
    <phoneticPr fontId="1"/>
  </si>
  <si>
    <t>Oink　Games</t>
    <phoneticPr fontId="1"/>
  </si>
  <si>
    <t>ノッケテック</t>
    <phoneticPr fontId="1"/>
  </si>
  <si>
    <t>３人以上だけど、２人でも遊べそう</t>
    <rPh sb="1" eb="2">
      <t>ニン</t>
    </rPh>
    <rPh sb="2" eb="4">
      <t>イジョウ</t>
    </rPh>
    <rPh sb="9" eb="10">
      <t>ヒト</t>
    </rPh>
    <rPh sb="12" eb="13">
      <t>アソ</t>
    </rPh>
    <phoneticPr fontId="1"/>
  </si>
  <si>
    <t>FOMO</t>
    <phoneticPr fontId="1"/>
  </si>
  <si>
    <t>茶茶屋</t>
    <phoneticPr fontId="1"/>
  </si>
  <si>
    <t>Esper Gmaes Studio</t>
    <phoneticPr fontId="1"/>
  </si>
  <si>
    <t>２０min～</t>
    <phoneticPr fontId="1"/>
  </si>
  <si>
    <t>チートホッパー</t>
    <phoneticPr fontId="1"/>
  </si>
  <si>
    <t>studio citrine</t>
    <phoneticPr fontId="1"/>
  </si>
  <si>
    <t>あんみつスタジオ</t>
  </si>
  <si>
    <t>おじぞうストリート</t>
  </si>
  <si>
    <t>15min～</t>
    <phoneticPr fontId="1"/>
  </si>
  <si>
    <t>時間制限なし</t>
    <rPh sb="0" eb="4">
      <t>ジカンセイゲン</t>
    </rPh>
    <phoneticPr fontId="1"/>
  </si>
  <si>
    <t>WWBG</t>
    <phoneticPr fontId="1"/>
  </si>
  <si>
    <t>ラストランタン</t>
    <phoneticPr fontId="1"/>
  </si>
  <si>
    <t>MIMIC MANSION</t>
    <phoneticPr fontId="1"/>
  </si>
  <si>
    <t>SORAGAME STUDIO</t>
    <phoneticPr fontId="1"/>
  </si>
  <si>
    <t>特設９</t>
    <rPh sb="0" eb="2">
      <t>トクセツ</t>
    </rPh>
    <phoneticPr fontId="1"/>
  </si>
  <si>
    <t>本当に面白いユーロゲームの世界</t>
    <rPh sb="0" eb="2">
      <t>ホントウ</t>
    </rPh>
    <rPh sb="3" eb="5">
      <t>オモシロ</t>
    </rPh>
    <rPh sb="13" eb="15">
      <t>セカイ</t>
    </rPh>
    <phoneticPr fontId="1"/>
  </si>
  <si>
    <t>グッズ</t>
  </si>
  <si>
    <t>マインドバグ</t>
    <phoneticPr fontId="1"/>
  </si>
  <si>
    <t>JELLY　JELLY　GAMES</t>
    <phoneticPr fontId="1"/>
  </si>
  <si>
    <t>D03</t>
    <phoneticPr fontId="1"/>
  </si>
  <si>
    <t>E30</t>
    <phoneticPr fontId="1"/>
  </si>
  <si>
    <t>世紀末Games</t>
    <rPh sb="0" eb="3">
      <t>セイキマツ</t>
    </rPh>
    <phoneticPr fontId="1"/>
  </si>
  <si>
    <t>メガネをクイッとするゲーム2.0</t>
    <phoneticPr fontId="1"/>
  </si>
  <si>
    <t>E36</t>
    <phoneticPr fontId="1"/>
  </si>
  <si>
    <t>マッシュルームパンク</t>
    <phoneticPr fontId="1"/>
  </si>
  <si>
    <t>キノコトポス</t>
    <phoneticPr fontId="1"/>
  </si>
  <si>
    <t>G39</t>
    <phoneticPr fontId="1"/>
  </si>
  <si>
    <t>L12</t>
    <phoneticPr fontId="1"/>
  </si>
  <si>
    <t>イカタコ</t>
    <phoneticPr fontId="1"/>
  </si>
  <si>
    <t>パンダキネマ</t>
    <phoneticPr fontId="1"/>
  </si>
  <si>
    <t>L30</t>
    <phoneticPr fontId="1"/>
  </si>
  <si>
    <t>5min～</t>
    <phoneticPr fontId="1"/>
  </si>
  <si>
    <t>L23</t>
    <phoneticPr fontId="1"/>
  </si>
  <si>
    <t>T17</t>
    <phoneticPr fontId="1"/>
  </si>
  <si>
    <t>ひつじのピザ屋さん</t>
    <rPh sb="6" eb="7">
      <t>ヤ</t>
    </rPh>
    <phoneticPr fontId="1"/>
  </si>
  <si>
    <t>WERFREE</t>
    <phoneticPr fontId="1"/>
  </si>
  <si>
    <t>U16</t>
    <phoneticPr fontId="1"/>
  </si>
  <si>
    <t>２０min</t>
    <phoneticPr fontId="1"/>
  </si>
  <si>
    <t>U15</t>
    <phoneticPr fontId="1"/>
  </si>
  <si>
    <t>ぽにょゲーム</t>
    <phoneticPr fontId="1"/>
  </si>
  <si>
    <t>うけどんのいくらあつめ</t>
    <phoneticPr fontId="1"/>
  </si>
  <si>
    <t>デッキ圧縮らしい</t>
    <rPh sb="3" eb="5">
      <t>アッシュク</t>
    </rPh>
    <phoneticPr fontId="1"/>
  </si>
  <si>
    <t>V19</t>
    <phoneticPr fontId="1"/>
  </si>
  <si>
    <t>楠Gameｓ</t>
    <rPh sb="0" eb="1">
      <t>クスノキ</t>
    </rPh>
    <phoneticPr fontId="1"/>
  </si>
  <si>
    <t>とおりゃんせ</t>
    <phoneticPr fontId="1"/>
  </si>
  <si>
    <t>対戦になったりホラーになったりするらしい</t>
    <rPh sb="0" eb="2">
      <t>タイセン</t>
    </rPh>
    <phoneticPr fontId="1"/>
  </si>
  <si>
    <t>X21</t>
    <phoneticPr fontId="1"/>
  </si>
  <si>
    <t>ミセスサンドイッチ</t>
    <phoneticPr fontId="1"/>
  </si>
  <si>
    <t>PG　Games</t>
    <phoneticPr fontId="1"/>
  </si>
  <si>
    <t>横２１</t>
    <rPh sb="0" eb="1">
      <t>ヨコ</t>
    </rPh>
    <phoneticPr fontId="1"/>
  </si>
  <si>
    <t>G48</t>
    <phoneticPr fontId="1"/>
  </si>
  <si>
    <t>ゆめゆめ</t>
    <phoneticPr fontId="1"/>
  </si>
  <si>
    <t>ミステリー</t>
  </si>
  <si>
    <t>ペンタスタジオ</t>
    <phoneticPr fontId="1"/>
  </si>
  <si>
    <t>J28</t>
    <phoneticPr fontId="1"/>
  </si>
  <si>
    <t>P39</t>
    <phoneticPr fontId="1"/>
  </si>
  <si>
    <t>栄養ヒーローズ</t>
    <rPh sb="0" eb="2">
      <t>エイヨウ</t>
    </rPh>
    <phoneticPr fontId="1"/>
  </si>
  <si>
    <t>TAKE　TIME</t>
    <phoneticPr fontId="1"/>
  </si>
  <si>
    <t>ドクタースクリブル</t>
    <phoneticPr fontId="1"/>
  </si>
  <si>
    <t>THE　OXYI</t>
    <phoneticPr fontId="1"/>
  </si>
  <si>
    <t>チームアップ</t>
    <phoneticPr fontId="1"/>
  </si>
  <si>
    <t>バンディダ</t>
    <phoneticPr fontId="1"/>
  </si>
  <si>
    <t>禁足地</t>
    <rPh sb="0" eb="1">
      <t>キン</t>
    </rPh>
    <rPh sb="1" eb="2">
      <t>アシ</t>
    </rPh>
    <rPh sb="2" eb="3">
      <t>チ</t>
    </rPh>
    <phoneticPr fontId="1"/>
  </si>
  <si>
    <t>Qmas</t>
    <phoneticPr fontId="1"/>
  </si>
  <si>
    <t>マジックメイズ</t>
    <phoneticPr fontId="1"/>
  </si>
  <si>
    <t>ミントダンジョン</t>
    <phoneticPr fontId="1"/>
  </si>
  <si>
    <t>ミント缶ゲームズ</t>
    <rPh sb="3" eb="4">
      <t>カン</t>
    </rPh>
    <phoneticPr fontId="1"/>
  </si>
  <si>
    <t>K72</t>
    <phoneticPr fontId="1"/>
  </si>
  <si>
    <t>ソロ</t>
  </si>
  <si>
    <t>知転脳</t>
  </si>
  <si>
    <t>すごろくやゲーム大賞２０２４</t>
    <rPh sb="8" eb="10">
      <t>タイショウ</t>
    </rPh>
    <phoneticPr fontId="1"/>
  </si>
  <si>
    <t>M34</t>
    <phoneticPr fontId="1"/>
  </si>
  <si>
    <t>保留</t>
    <rPh sb="0" eb="2">
      <t>ホリュウ</t>
    </rPh>
    <phoneticPr fontId="1"/>
  </si>
  <si>
    <t>アトランティスエグゾダス</t>
    <phoneticPr fontId="1"/>
  </si>
  <si>
    <t>SETI</t>
    <phoneticPr fontId="1"/>
  </si>
  <si>
    <t>白熊救助隊</t>
    <rPh sb="0" eb="2">
      <t>シロクマ</t>
    </rPh>
    <rPh sb="2" eb="5">
      <t>キュウジョタイ</t>
    </rPh>
    <phoneticPr fontId="1"/>
  </si>
  <si>
    <t>有限探偵ミネルバ</t>
    <rPh sb="0" eb="2">
      <t>ユウゲン</t>
    </rPh>
    <rPh sb="2" eb="4">
      <t>タンテイ</t>
    </rPh>
    <phoneticPr fontId="1"/>
  </si>
  <si>
    <t>デリキャット</t>
    <phoneticPr fontId="1"/>
  </si>
  <si>
    <t>マジシャンが考えた謎解きセット錬金術入門</t>
    <rPh sb="6" eb="7">
      <t>カンガ</t>
    </rPh>
    <rPh sb="9" eb="11">
      <t>ナゾト</t>
    </rPh>
    <rPh sb="15" eb="18">
      <t>レンキンジュツ</t>
    </rPh>
    <rPh sb="18" eb="20">
      <t>ニュウモン</t>
    </rPh>
    <phoneticPr fontId="1"/>
  </si>
  <si>
    <t>マジシャンが考えた謎解きキット錬金術入門</t>
    <rPh sb="6" eb="7">
      <t>カンガ</t>
    </rPh>
    <rPh sb="9" eb="11">
      <t>ナゾト</t>
    </rPh>
    <rPh sb="15" eb="18">
      <t>レンキンジュツ</t>
    </rPh>
    <rPh sb="18" eb="20">
      <t>ニュウモン</t>
    </rPh>
    <phoneticPr fontId="1"/>
  </si>
  <si>
    <t>シネマトリックショップ</t>
    <phoneticPr fontId="1"/>
  </si>
  <si>
    <t>F29</t>
    <phoneticPr fontId="1"/>
  </si>
  <si>
    <t>トランクウィリー</t>
    <phoneticPr fontId="1"/>
  </si>
  <si>
    <t>ロビンフッドの冒険</t>
    <rPh sb="7" eb="9">
      <t>ボウケン</t>
    </rPh>
    <phoneticPr fontId="1"/>
  </si>
  <si>
    <t>やりすぎカルドロン</t>
    <phoneticPr fontId="1"/>
  </si>
  <si>
    <t>T19</t>
    <phoneticPr fontId="1"/>
  </si>
  <si>
    <t>ちょんまげ工務店コンバディダス</t>
    <rPh sb="5" eb="8">
      <t>コウムテン</t>
    </rPh>
    <phoneticPr fontId="1"/>
  </si>
  <si>
    <t>３人以上でした</t>
    <rPh sb="1" eb="2">
      <t>ニン</t>
    </rPh>
    <rPh sb="2" eb="4">
      <t>イジョウ</t>
    </rPh>
    <phoneticPr fontId="1"/>
  </si>
  <si>
    <t>チクタクオーダー</t>
    <phoneticPr fontId="1"/>
  </si>
  <si>
    <t>くじらだま</t>
    <phoneticPr fontId="1"/>
  </si>
  <si>
    <t>１５min</t>
    <phoneticPr fontId="1"/>
  </si>
  <si>
    <t>すごろくや</t>
    <phoneticPr fontId="1"/>
  </si>
  <si>
    <t>メルカリ</t>
    <phoneticPr fontId="1"/>
  </si>
  <si>
    <t>ホヌゲームズ</t>
    <phoneticPr fontId="1"/>
  </si>
  <si>
    <t>ツインイット</t>
    <phoneticPr fontId="1"/>
  </si>
  <si>
    <t>メナラ</t>
    <phoneticPr fontId="1"/>
  </si>
  <si>
    <t>ホビージャンパン</t>
    <phoneticPr fontId="1"/>
  </si>
  <si>
    <t>アークライト</t>
    <phoneticPr fontId="1"/>
  </si>
  <si>
    <t>ホヌゲームズ</t>
    <phoneticPr fontId="1"/>
  </si>
  <si>
    <t>10min～</t>
    <phoneticPr fontId="1"/>
  </si>
  <si>
    <t>E01</t>
    <phoneticPr fontId="1"/>
  </si>
  <si>
    <t>フダコマゲームズ</t>
    <phoneticPr fontId="1"/>
  </si>
  <si>
    <t>ローグライト</t>
    <phoneticPr fontId="1"/>
  </si>
  <si>
    <t>試遊</t>
    <rPh sb="0" eb="2">
      <t>シユウ</t>
    </rPh>
    <phoneticPr fontId="1"/>
  </si>
  <si>
    <t>ローグライク</t>
  </si>
  <si>
    <t>トラジェリー</t>
    <phoneticPr fontId="1"/>
  </si>
  <si>
    <t>40min～</t>
    <phoneticPr fontId="1"/>
  </si>
  <si>
    <t>鋭意制作中</t>
    <rPh sb="0" eb="2">
      <t>エイイ</t>
    </rPh>
    <rPh sb="2" eb="5">
      <t>セイサクチュウ</t>
    </rPh>
    <phoneticPr fontId="1"/>
  </si>
  <si>
    <t>T13</t>
    <phoneticPr fontId="1"/>
  </si>
  <si>
    <t>XXBOX</t>
    <phoneticPr fontId="1"/>
  </si>
  <si>
    <t>ジーピー福井</t>
    <rPh sb="4" eb="6">
      <t>フクイ</t>
    </rPh>
    <phoneticPr fontId="1"/>
  </si>
  <si>
    <t>ばねスト</t>
    <phoneticPr fontId="1"/>
  </si>
  <si>
    <t>ボンボヤージュボイジャー</t>
    <phoneticPr fontId="1"/>
  </si>
  <si>
    <t>ヒットスター</t>
    <phoneticPr fontId="1"/>
  </si>
  <si>
    <t>ザ・クルー　ファミリー</t>
    <phoneticPr fontId="1"/>
  </si>
  <si>
    <t>トリテ</t>
  </si>
  <si>
    <t>playte</t>
    <phoneticPr fontId="1"/>
  </si>
  <si>
    <t>フェンステルダム</t>
    <phoneticPr fontId="1"/>
  </si>
  <si>
    <t>weight</t>
    <phoneticPr fontId="1"/>
  </si>
  <si>
    <t>ジ・オキシー</t>
    <phoneticPr fontId="1"/>
  </si>
  <si>
    <t>ram clear</t>
    <phoneticPr fontId="1"/>
  </si>
  <si>
    <t>予約済み合計</t>
    <rPh sb="0" eb="3">
      <t>ヨヤクズ</t>
    </rPh>
    <rPh sb="4" eb="6">
      <t>ゴウケイ</t>
    </rPh>
    <phoneticPr fontId="1"/>
  </si>
  <si>
    <t>購入予定合計</t>
    <rPh sb="0" eb="2">
      <t>コウニュウ</t>
    </rPh>
    <rPh sb="2" eb="4">
      <t>ヨテイ</t>
    </rPh>
    <rPh sb="4" eb="6">
      <t>ゴウケイ</t>
    </rPh>
    <phoneticPr fontId="1"/>
  </si>
  <si>
    <t>検討中合計</t>
    <rPh sb="0" eb="3">
      <t>ケントウチュウ</t>
    </rPh>
    <rPh sb="3" eb="5">
      <t>ゴウケイ</t>
    </rPh>
    <phoneticPr fontId="1"/>
  </si>
  <si>
    <t>予約＋購入</t>
    <rPh sb="0" eb="2">
      <t>ヨヤク</t>
    </rPh>
    <rPh sb="3" eb="5">
      <t>コウニュウ</t>
    </rPh>
    <phoneticPr fontId="1"/>
  </si>
  <si>
    <t>コバ</t>
    <phoneticPr fontId="1"/>
  </si>
  <si>
    <t>予約名：おおたあやね</t>
    <rPh sb="0" eb="3">
      <t>ヨヤクメイ</t>
    </rPh>
    <phoneticPr fontId="1"/>
  </si>
  <si>
    <t>新作の青の方は予約ある</t>
    <rPh sb="0" eb="2">
      <t>シンサク</t>
    </rPh>
    <rPh sb="3" eb="4">
      <t>アオ</t>
    </rPh>
    <rPh sb="5" eb="6">
      <t>ホウ</t>
    </rPh>
    <rPh sb="7" eb="9">
      <t>ヨヤク</t>
    </rPh>
    <phoneticPr fontId="1"/>
  </si>
  <si>
    <t>バックストーリーズ</t>
    <phoneticPr fontId="1"/>
  </si>
  <si>
    <t>リゴレ</t>
    <phoneticPr fontId="1"/>
  </si>
  <si>
    <t>滅びた世界の結婚相談所</t>
    <rPh sb="0" eb="1">
      <t>ホロ</t>
    </rPh>
    <rPh sb="3" eb="5">
      <t>セカイ</t>
    </rPh>
    <rPh sb="6" eb="11">
      <t>ケッコンソウダンジョ</t>
    </rPh>
    <phoneticPr fontId="1"/>
  </si>
  <si>
    <t>時すでにミステリー</t>
    <rPh sb="0" eb="1">
      <t>トキ</t>
    </rPh>
    <phoneticPr fontId="1"/>
  </si>
  <si>
    <t>有限探偵ミネルバ</t>
    <rPh sb="0" eb="4">
      <t>ユウゲンタンテイ</t>
    </rPh>
    <phoneticPr fontId="1"/>
  </si>
  <si>
    <t>９０min</t>
    <phoneticPr fontId="1"/>
  </si>
  <si>
    <t>マダミス</t>
  </si>
  <si>
    <t>ギミックが新鮮、徐々に点が繋がっていく</t>
    <rPh sb="5" eb="7">
      <t>シンセン</t>
    </rPh>
    <rPh sb="8" eb="10">
      <t>ジョジョ</t>
    </rPh>
    <rPh sb="11" eb="12">
      <t>テン</t>
    </rPh>
    <rPh sb="13" eb="14">
      <t>ツナ</t>
    </rPh>
    <phoneticPr fontId="1"/>
  </si>
  <si>
    <t>studio ozon</t>
    <phoneticPr fontId="1"/>
  </si>
  <si>
    <t>評判よい、委託販売</t>
    <rPh sb="0" eb="2">
      <t>ヒョウバン</t>
    </rPh>
    <rPh sb="5" eb="9">
      <t>イタクハンバイ</t>
    </rPh>
    <phoneticPr fontId="1"/>
  </si>
  <si>
    <t>K13</t>
    <phoneticPr fontId="1"/>
  </si>
  <si>
    <t>L32</t>
    <phoneticPr fontId="1"/>
  </si>
  <si>
    <t>ジマーマ創刊号</t>
    <rPh sb="4" eb="7">
      <t>ソウカンゴウ</t>
    </rPh>
    <phoneticPr fontId="1"/>
  </si>
  <si>
    <t>日本マーダーミステリー協会</t>
    <rPh sb="0" eb="2">
      <t>ニホン</t>
    </rPh>
    <rPh sb="11" eb="13">
      <t>キョウカイ</t>
    </rPh>
    <phoneticPr fontId="1"/>
  </si>
  <si>
    <t>マリといかれた工場</t>
    <rPh sb="7" eb="9">
      <t>コウジョウ</t>
    </rPh>
    <phoneticPr fontId="1"/>
  </si>
  <si>
    <t>あれば</t>
    <phoneticPr fontId="1"/>
  </si>
  <si>
    <t>予約名：太田</t>
    <phoneticPr fontId="1"/>
  </si>
  <si>
    <t>予約名：太田,土曜日</t>
    <rPh sb="0" eb="2">
      <t>ヨヤク</t>
    </rPh>
    <rPh sb="2" eb="3">
      <t>メイ</t>
    </rPh>
    <rPh sb="4" eb="6">
      <t>オオタ</t>
    </rPh>
    <rPh sb="7" eb="10">
      <t>ドヨウビ</t>
    </rPh>
    <phoneticPr fontId="1"/>
  </si>
  <si>
    <t>E26</t>
    <phoneticPr fontId="1"/>
  </si>
  <si>
    <t>じゃんとり</t>
    <phoneticPr fontId="1"/>
  </si>
  <si>
    <t>速いゴリラ</t>
    <rPh sb="0" eb="1">
      <t>ハヤ</t>
    </rPh>
    <phoneticPr fontId="1"/>
  </si>
  <si>
    <t>P49</t>
    <phoneticPr fontId="1"/>
  </si>
  <si>
    <t>JISOGIのとこ.３人以上からだった</t>
    <rPh sb="11" eb="14">
      <t>ニンイジョウ</t>
    </rPh>
    <phoneticPr fontId="1"/>
  </si>
  <si>
    <t>H29</t>
    <phoneticPr fontId="1"/>
  </si>
  <si>
    <t>VSクレイジーピッチングオクトパス</t>
    <phoneticPr fontId="1"/>
  </si>
  <si>
    <t>うらがえる</t>
    <phoneticPr fontId="1"/>
  </si>
  <si>
    <t>シロゲーム</t>
    <phoneticPr fontId="1"/>
  </si>
  <si>
    <t>F05</t>
    <phoneticPr fontId="1"/>
  </si>
  <si>
    <t>いんだすとり</t>
    <phoneticPr fontId="1"/>
  </si>
  <si>
    <t>オーダーバーガーメーカー</t>
    <phoneticPr fontId="1"/>
  </si>
  <si>
    <t>バナナボーイ&amp;ユニコーン</t>
    <phoneticPr fontId="1"/>
  </si>
  <si>
    <t>A09</t>
    <phoneticPr fontId="1"/>
  </si>
  <si>
    <t>15min</t>
    <phoneticPr fontId="1"/>
  </si>
  <si>
    <t>ばねスト</t>
    <rPh sb="3" eb="4">
      <t>ゴ</t>
    </rPh>
    <phoneticPr fontId="1"/>
  </si>
  <si>
    <t>ランドマーク（ドイツ語版）</t>
    <rPh sb="10" eb="11">
      <t>ゴ</t>
    </rPh>
    <rPh sb="11" eb="12">
      <t>バン</t>
    </rPh>
    <phoneticPr fontId="1"/>
  </si>
  <si>
    <t>３０min～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</si>
</sst>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5" formatCode="&quot;¥&quot;#,##0;&quot;¥&quot;\-#,##0"/>
    <numFmt numFmtId="176" formatCode="#,##0_);[Red]\(#,##0\)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BIZ UDPゴシック"/>
      <family val="3"/>
      <charset val="128"/>
    </font>
    <font>
      <sz val="11"/>
      <color rgb="FF202124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9"/>
      <color theme="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5" fontId="2" fillId="0" borderId="0" xfId="0" applyNumberFormat="1" applyFont="1">
      <alignment vertical="center"/>
    </xf>
    <xf numFmtId="5" fontId="0" fillId="0" borderId="0" xfId="0" applyNumberFormat="1">
      <alignment vertical="center"/>
    </xf>
    <xf numFmtId="5" fontId="2" fillId="0" borderId="1" xfId="0" applyNumberFormat="1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5" fontId="2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>
      <alignment vertical="center"/>
    </xf>
    <xf numFmtId="2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5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標準" xfId="0" builtinId="0"/>
  </cellStyles>
  <dxfs count="7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E5FF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rgb="FFE6DEFE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テーブル スタイル 1" pivot="0" count="2" xr9:uid="{1B63D246-BABF-47E7-BEF4-5938226336B9}">
      <tableStyleElement type="wholeTable" dxfId="6"/>
      <tableStyleElement type="firstColumnStripe" size="3"/>
    </tableStyle>
  </tableStyles>
  <colors>
    <mruColors>
      <color rgb="FFE6DEFE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D0D4-B4C4-463D-AC34-C58EC6BEBEE3}">
  <sheetPr codeName="Sheet1">
    <pageSetUpPr fitToPage="1"/>
  </sheetPr>
  <dimension ref="A1:Q166"/>
  <sheetViews>
    <sheetView tabSelected="1" view="pageBreakPreview" zoomScale="115" zoomScaleNormal="100" zoomScaleSheetLayoutView="115" workbookViewId="0">
      <pane ySplit="6" topLeftCell="A7" activePane="bottomLeft" state="frozen"/>
      <selection pane="bottomLeft" activeCell="M68" sqref="M68"/>
    </sheetView>
  </sheetViews>
  <sheetFormatPr defaultRowHeight="18.75" outlineLevelCol="1" x14ac:dyDescent="0.4"/>
  <cols>
    <col min="1" max="1" width="11.5" style="1" bestFit="1" customWidth="1"/>
    <col min="2" max="2" width="11" style="1" bestFit="1" customWidth="1"/>
    <col min="3" max="3" width="15.625" style="1" bestFit="1" customWidth="1" outlineLevel="1"/>
    <col min="4" max="4" width="8.625" style="1" customWidth="1" outlineLevel="1"/>
    <col min="5" max="5" width="27.75" style="1" customWidth="1"/>
    <col min="6" max="6" width="33.25" style="1" bestFit="1" customWidth="1"/>
    <col min="7" max="7" width="8.625" style="1"/>
    <col min="8" max="8" width="11.25" style="1" bestFit="1" customWidth="1"/>
    <col min="9" max="9" width="9.125" style="1" customWidth="1"/>
    <col min="10" max="10" width="16.875" style="1" bestFit="1" customWidth="1"/>
    <col min="11" max="11" width="8.625" style="5"/>
    <col min="12" max="12" width="11.125" style="1" bestFit="1" customWidth="1"/>
    <col min="13" max="13" width="11.125" style="1" customWidth="1"/>
    <col min="14" max="14" width="35.75" bestFit="1" customWidth="1"/>
    <col min="17" max="17" width="9" customWidth="1"/>
  </cols>
  <sheetData>
    <row r="1" spans="1:17" x14ac:dyDescent="0.4">
      <c r="A1" s="2" t="s">
        <v>233</v>
      </c>
      <c r="B1" s="29">
        <f>SUMIF(D7:D97,"予約済み",K7:K97)</f>
        <v>11000</v>
      </c>
    </row>
    <row r="2" spans="1:17" x14ac:dyDescent="0.4">
      <c r="A2" s="2" t="s">
        <v>234</v>
      </c>
      <c r="B2" s="29">
        <f>SUMIF(D7:D97,"購入予定",K7:K97)</f>
        <v>19160</v>
      </c>
    </row>
    <row r="3" spans="1:17" x14ac:dyDescent="0.4">
      <c r="A3" s="2" t="s">
        <v>235</v>
      </c>
      <c r="B3" s="29">
        <f>SUMIF(D7:D97,"検討中",K7:K97)</f>
        <v>41750</v>
      </c>
    </row>
    <row r="4" spans="1:17" x14ac:dyDescent="0.4">
      <c r="A4" s="2" t="s">
        <v>236</v>
      </c>
      <c r="B4" s="29">
        <f>SUM(B1:B2)</f>
        <v>30160</v>
      </c>
    </row>
    <row r="5" spans="1:17" x14ac:dyDescent="0.4">
      <c r="A5" s="41" t="s">
        <v>0</v>
      </c>
      <c r="B5" s="41"/>
      <c r="C5" s="41"/>
      <c r="D5" s="12"/>
      <c r="E5" s="35" t="s">
        <v>1</v>
      </c>
      <c r="F5" s="40"/>
      <c r="G5" s="40"/>
      <c r="H5" s="40"/>
      <c r="I5" s="40"/>
      <c r="J5" s="40"/>
      <c r="K5" s="40"/>
      <c r="L5" s="36"/>
      <c r="M5" s="35" t="s">
        <v>37</v>
      </c>
      <c r="N5" s="36"/>
      <c r="O5" s="3"/>
      <c r="P5" s="3"/>
      <c r="Q5" s="3"/>
    </row>
    <row r="6" spans="1:17" x14ac:dyDescent="0.4">
      <c r="A6" s="27" t="s">
        <v>3</v>
      </c>
      <c r="B6" s="27" t="s">
        <v>4</v>
      </c>
      <c r="C6" s="27" t="s">
        <v>5</v>
      </c>
      <c r="D6" s="27" t="s">
        <v>6</v>
      </c>
      <c r="E6" s="27" t="s">
        <v>7</v>
      </c>
      <c r="F6" s="27" t="s">
        <v>8</v>
      </c>
      <c r="G6" s="27" t="s">
        <v>9</v>
      </c>
      <c r="H6" s="27" t="s">
        <v>5</v>
      </c>
      <c r="I6" s="27" t="s">
        <v>40</v>
      </c>
      <c r="J6" s="27" t="s">
        <v>41</v>
      </c>
      <c r="K6" s="28" t="s">
        <v>10</v>
      </c>
      <c r="L6" s="27" t="s">
        <v>11</v>
      </c>
      <c r="M6" s="27" t="s">
        <v>230</v>
      </c>
      <c r="N6" s="27" t="s">
        <v>12</v>
      </c>
      <c r="O6" s="3"/>
      <c r="P6" s="3"/>
      <c r="Q6" s="3"/>
    </row>
    <row r="7" spans="1:17" x14ac:dyDescent="0.4">
      <c r="A7" s="13" t="s">
        <v>33</v>
      </c>
      <c r="B7" s="13" t="s">
        <v>139</v>
      </c>
      <c r="C7" s="13" t="s">
        <v>66</v>
      </c>
      <c r="D7" s="13" t="s">
        <v>184</v>
      </c>
      <c r="E7" s="13" t="s">
        <v>60</v>
      </c>
      <c r="F7" s="13" t="s">
        <v>58</v>
      </c>
      <c r="G7" s="13" t="s">
        <v>39</v>
      </c>
      <c r="H7" s="13" t="s">
        <v>61</v>
      </c>
      <c r="I7" s="13" t="s">
        <v>18</v>
      </c>
      <c r="J7" s="13" t="s">
        <v>62</v>
      </c>
      <c r="K7" s="9">
        <v>4100</v>
      </c>
      <c r="L7" s="13" t="s">
        <v>55</v>
      </c>
      <c r="M7" s="13">
        <v>20</v>
      </c>
      <c r="N7" s="14" t="s">
        <v>59</v>
      </c>
      <c r="O7" s="3"/>
      <c r="P7" s="3"/>
      <c r="Q7" s="3"/>
    </row>
    <row r="8" spans="1:17" x14ac:dyDescent="0.4">
      <c r="A8" s="13" t="s">
        <v>13</v>
      </c>
      <c r="B8" s="13" t="s">
        <v>263</v>
      </c>
      <c r="C8" s="13" t="s">
        <v>65</v>
      </c>
      <c r="D8" s="13" t="s">
        <v>26</v>
      </c>
      <c r="E8" s="13" t="s">
        <v>63</v>
      </c>
      <c r="F8" s="13" t="s">
        <v>64</v>
      </c>
      <c r="G8" s="13" t="s">
        <v>38</v>
      </c>
      <c r="H8" s="13" t="s">
        <v>30</v>
      </c>
      <c r="I8" s="13" t="s">
        <v>22</v>
      </c>
      <c r="J8" s="13" t="s">
        <v>62</v>
      </c>
      <c r="K8" s="15">
        <v>3500</v>
      </c>
      <c r="L8" s="13" t="s">
        <v>55</v>
      </c>
      <c r="M8" s="13">
        <v>80</v>
      </c>
      <c r="N8" s="16" t="s">
        <v>67</v>
      </c>
      <c r="O8" s="3"/>
      <c r="P8" s="3"/>
      <c r="Q8" s="3"/>
    </row>
    <row r="9" spans="1:17" x14ac:dyDescent="0.4">
      <c r="A9" s="37" t="s">
        <v>13</v>
      </c>
      <c r="B9" s="37" t="s">
        <v>258</v>
      </c>
      <c r="C9" s="37" t="s">
        <v>68</v>
      </c>
      <c r="D9" s="25" t="s">
        <v>26</v>
      </c>
      <c r="E9" s="37" t="s">
        <v>69</v>
      </c>
      <c r="F9" s="13" t="s">
        <v>70</v>
      </c>
      <c r="G9" s="13" t="s">
        <v>39</v>
      </c>
      <c r="H9" s="13" t="s">
        <v>17</v>
      </c>
      <c r="I9" s="13" t="s">
        <v>18</v>
      </c>
      <c r="J9" s="13" t="s">
        <v>73</v>
      </c>
      <c r="K9" s="15">
        <v>2000</v>
      </c>
      <c r="L9" s="37" t="s">
        <v>55</v>
      </c>
      <c r="M9" s="13">
        <v>100</v>
      </c>
      <c r="N9" s="42" t="s">
        <v>257</v>
      </c>
      <c r="O9" s="3"/>
      <c r="P9" s="3"/>
      <c r="Q9" s="3"/>
    </row>
    <row r="10" spans="1:17" x14ac:dyDescent="0.4">
      <c r="A10" s="39"/>
      <c r="B10" s="39"/>
      <c r="C10" s="39"/>
      <c r="D10" s="13" t="s">
        <v>184</v>
      </c>
      <c r="E10" s="39"/>
      <c r="F10" s="13" t="s">
        <v>71</v>
      </c>
      <c r="G10" s="13" t="s">
        <v>38</v>
      </c>
      <c r="H10" s="13" t="s">
        <v>17</v>
      </c>
      <c r="I10" s="13" t="s">
        <v>18</v>
      </c>
      <c r="J10" s="13" t="s">
        <v>75</v>
      </c>
      <c r="K10" s="15">
        <v>1000</v>
      </c>
      <c r="L10" s="39"/>
      <c r="M10" s="13">
        <v>20</v>
      </c>
      <c r="N10" s="43"/>
      <c r="O10" s="3"/>
      <c r="P10" s="3"/>
      <c r="Q10" s="3"/>
    </row>
    <row r="11" spans="1:17" x14ac:dyDescent="0.4">
      <c r="A11" s="38"/>
      <c r="B11" s="38"/>
      <c r="C11" s="38"/>
      <c r="D11" s="13" t="s">
        <v>23</v>
      </c>
      <c r="E11" s="38"/>
      <c r="F11" s="13" t="s">
        <v>72</v>
      </c>
      <c r="G11" s="13" t="s">
        <v>38</v>
      </c>
      <c r="H11" s="13" t="s">
        <v>17</v>
      </c>
      <c r="I11" s="13" t="s">
        <v>22</v>
      </c>
      <c r="J11" s="13" t="s">
        <v>48</v>
      </c>
      <c r="K11" s="15">
        <v>1000</v>
      </c>
      <c r="L11" s="38"/>
      <c r="M11" s="13">
        <v>50</v>
      </c>
      <c r="N11" s="44"/>
      <c r="O11" s="3"/>
      <c r="P11" s="3"/>
      <c r="Q11" s="3"/>
    </row>
    <row r="12" spans="1:17" x14ac:dyDescent="0.4">
      <c r="A12" s="13" t="s">
        <v>33</v>
      </c>
      <c r="B12" s="13" t="s">
        <v>144</v>
      </c>
      <c r="C12" s="26" t="s">
        <v>65</v>
      </c>
      <c r="D12" s="13" t="s">
        <v>26</v>
      </c>
      <c r="E12" s="13" t="s">
        <v>113</v>
      </c>
      <c r="F12" s="13" t="s">
        <v>78</v>
      </c>
      <c r="G12" s="13" t="s">
        <v>38</v>
      </c>
      <c r="H12" s="13" t="s">
        <v>28</v>
      </c>
      <c r="I12" s="13" t="s">
        <v>22</v>
      </c>
      <c r="J12" s="13" t="s">
        <v>77</v>
      </c>
      <c r="K12" s="15">
        <v>3000</v>
      </c>
      <c r="L12" s="13" t="s">
        <v>55</v>
      </c>
      <c r="M12" s="13">
        <v>100</v>
      </c>
      <c r="N12" s="16" t="s">
        <v>256</v>
      </c>
      <c r="O12" s="3"/>
      <c r="P12" s="3"/>
      <c r="Q12" s="3"/>
    </row>
    <row r="13" spans="1:17" x14ac:dyDescent="0.4">
      <c r="A13" s="16" t="s">
        <v>33</v>
      </c>
      <c r="B13" s="13" t="s">
        <v>154</v>
      </c>
      <c r="C13" s="16"/>
      <c r="D13" s="13" t="s">
        <v>23</v>
      </c>
      <c r="E13" s="13" t="s">
        <v>79</v>
      </c>
      <c r="F13" s="13" t="s">
        <v>264</v>
      </c>
      <c r="G13" s="13" t="s">
        <v>38</v>
      </c>
      <c r="H13" s="13" t="s">
        <v>17</v>
      </c>
      <c r="I13" s="13" t="s">
        <v>18</v>
      </c>
      <c r="J13" s="13" t="s">
        <v>29</v>
      </c>
      <c r="K13" s="15">
        <v>3000</v>
      </c>
      <c r="L13" s="13" t="s">
        <v>56</v>
      </c>
      <c r="M13" s="13">
        <v>80</v>
      </c>
      <c r="N13" s="16"/>
      <c r="O13" s="3"/>
      <c r="P13" s="3"/>
      <c r="Q13" s="3"/>
    </row>
    <row r="14" spans="1:17" x14ac:dyDescent="0.4">
      <c r="A14" s="16" t="s">
        <v>33</v>
      </c>
      <c r="B14" s="13"/>
      <c r="C14" s="13" t="s">
        <v>82</v>
      </c>
      <c r="D14" s="13" t="s">
        <v>184</v>
      </c>
      <c r="E14" s="13" t="s">
        <v>80</v>
      </c>
      <c r="F14" s="13" t="s">
        <v>81</v>
      </c>
      <c r="G14" s="13" t="s">
        <v>39</v>
      </c>
      <c r="H14" s="13" t="s">
        <v>19</v>
      </c>
      <c r="I14" s="13" t="s">
        <v>18</v>
      </c>
      <c r="J14" s="13" t="s">
        <v>77</v>
      </c>
      <c r="K14" s="15">
        <v>6000</v>
      </c>
      <c r="L14" s="13" t="s">
        <v>56</v>
      </c>
      <c r="M14" s="13">
        <v>50</v>
      </c>
      <c r="N14" s="16"/>
      <c r="O14" s="3"/>
      <c r="P14" s="3"/>
      <c r="Q14" s="3"/>
    </row>
    <row r="15" spans="1:17" x14ac:dyDescent="0.4">
      <c r="A15" s="16" t="s">
        <v>13</v>
      </c>
      <c r="B15" s="13"/>
      <c r="C15" s="13" t="s">
        <v>65</v>
      </c>
      <c r="D15" s="13" t="s">
        <v>184</v>
      </c>
      <c r="E15" s="37" t="s">
        <v>83</v>
      </c>
      <c r="F15" s="13" t="s">
        <v>84</v>
      </c>
      <c r="G15" s="13" t="s">
        <v>38</v>
      </c>
      <c r="H15" s="13" t="s">
        <v>28</v>
      </c>
      <c r="I15" s="13" t="s">
        <v>18</v>
      </c>
      <c r="J15" s="13" t="s">
        <v>48</v>
      </c>
      <c r="K15" s="15">
        <v>3200</v>
      </c>
      <c r="L15" s="13" t="s">
        <v>56</v>
      </c>
      <c r="M15" s="13">
        <v>50</v>
      </c>
      <c r="N15" s="16"/>
      <c r="O15" s="3"/>
      <c r="P15" s="3"/>
      <c r="Q15" s="3"/>
    </row>
    <row r="16" spans="1:17" x14ac:dyDescent="0.4">
      <c r="A16" s="16" t="s">
        <v>13</v>
      </c>
      <c r="B16" s="13"/>
      <c r="C16" s="13"/>
      <c r="D16" s="13" t="s">
        <v>184</v>
      </c>
      <c r="E16" s="38"/>
      <c r="F16" s="13" t="s">
        <v>85</v>
      </c>
      <c r="G16" s="13" t="s">
        <v>39</v>
      </c>
      <c r="H16" s="13" t="s">
        <v>86</v>
      </c>
      <c r="I16" s="13" t="s">
        <v>18</v>
      </c>
      <c r="J16" s="13" t="s">
        <v>48</v>
      </c>
      <c r="K16" s="15">
        <v>3800</v>
      </c>
      <c r="L16" s="13" t="s">
        <v>56</v>
      </c>
      <c r="M16" s="13">
        <v>50</v>
      </c>
      <c r="N16" s="16"/>
      <c r="O16" s="3"/>
      <c r="P16" s="3"/>
      <c r="Q16" s="3"/>
    </row>
    <row r="17" spans="1:17" x14ac:dyDescent="0.4">
      <c r="A17" s="13" t="s">
        <v>13</v>
      </c>
      <c r="B17" s="13"/>
      <c r="C17" s="13" t="s">
        <v>90</v>
      </c>
      <c r="D17" s="13" t="s">
        <v>184</v>
      </c>
      <c r="E17" s="13" t="s">
        <v>88</v>
      </c>
      <c r="F17" s="13" t="s">
        <v>87</v>
      </c>
      <c r="G17" s="13" t="s">
        <v>39</v>
      </c>
      <c r="H17" s="13" t="s">
        <v>28</v>
      </c>
      <c r="I17" s="13" t="s">
        <v>18</v>
      </c>
      <c r="J17" s="13" t="s">
        <v>73</v>
      </c>
      <c r="K17" s="15">
        <v>2000</v>
      </c>
      <c r="L17" s="13" t="s">
        <v>56</v>
      </c>
      <c r="M17" s="13"/>
      <c r="N17" s="16" t="s">
        <v>89</v>
      </c>
      <c r="O17" s="3"/>
      <c r="P17" s="3"/>
      <c r="Q17" s="3"/>
    </row>
    <row r="18" spans="1:17" x14ac:dyDescent="0.4">
      <c r="A18" s="13" t="s">
        <v>13</v>
      </c>
      <c r="B18" s="13">
        <v>84</v>
      </c>
      <c r="C18" s="18"/>
      <c r="D18" s="13" t="s">
        <v>23</v>
      </c>
      <c r="E18" s="13" t="s">
        <v>92</v>
      </c>
      <c r="F18" s="13" t="s">
        <v>91</v>
      </c>
      <c r="G18" s="19" t="s">
        <v>39</v>
      </c>
      <c r="H18" s="19" t="s">
        <v>21</v>
      </c>
      <c r="I18" s="13" t="s">
        <v>18</v>
      </c>
      <c r="J18" s="13" t="s">
        <v>45</v>
      </c>
      <c r="K18" s="15">
        <v>2500</v>
      </c>
      <c r="L18" s="13" t="s">
        <v>54</v>
      </c>
      <c r="M18" s="13">
        <v>80</v>
      </c>
      <c r="N18" s="16" t="s">
        <v>93</v>
      </c>
      <c r="O18" s="3"/>
      <c r="P18" s="3"/>
      <c r="Q18" s="3"/>
    </row>
    <row r="19" spans="1:17" x14ac:dyDescent="0.4">
      <c r="A19" s="13" t="s">
        <v>13</v>
      </c>
      <c r="B19" s="13" t="s">
        <v>132</v>
      </c>
      <c r="C19" s="13"/>
      <c r="D19" s="13" t="s">
        <v>23</v>
      </c>
      <c r="E19" s="13" t="s">
        <v>94</v>
      </c>
      <c r="F19" s="13" t="s">
        <v>95</v>
      </c>
      <c r="G19" s="19" t="s">
        <v>39</v>
      </c>
      <c r="H19" s="19" t="s">
        <v>25</v>
      </c>
      <c r="I19" s="13" t="s">
        <v>22</v>
      </c>
      <c r="J19" s="13" t="s">
        <v>62</v>
      </c>
      <c r="K19" s="15">
        <v>2000</v>
      </c>
      <c r="L19" s="13" t="s">
        <v>56</v>
      </c>
      <c r="M19" s="13">
        <v>50</v>
      </c>
      <c r="N19" s="16"/>
      <c r="O19" s="3"/>
      <c r="P19" s="3"/>
      <c r="Q19" s="3"/>
    </row>
    <row r="20" spans="1:17" x14ac:dyDescent="0.4">
      <c r="A20" s="13"/>
      <c r="B20" s="13"/>
      <c r="C20" s="18"/>
      <c r="D20" s="13" t="s">
        <v>184</v>
      </c>
      <c r="E20" s="13" t="s">
        <v>96</v>
      </c>
      <c r="F20" s="13" t="s">
        <v>97</v>
      </c>
      <c r="G20" s="19" t="s">
        <v>39</v>
      </c>
      <c r="H20" s="19" t="s">
        <v>98</v>
      </c>
      <c r="I20" s="13" t="s">
        <v>18</v>
      </c>
      <c r="J20" s="13" t="s">
        <v>48</v>
      </c>
      <c r="K20" s="15">
        <v>8500</v>
      </c>
      <c r="L20" s="13" t="s">
        <v>57</v>
      </c>
      <c r="M20" s="13"/>
      <c r="N20" s="16"/>
      <c r="O20" s="3"/>
      <c r="P20" s="3"/>
      <c r="Q20" s="3"/>
    </row>
    <row r="21" spans="1:17" x14ac:dyDescent="0.4">
      <c r="A21" s="13"/>
      <c r="B21" s="13"/>
      <c r="C21" s="13"/>
      <c r="D21" s="13" t="s">
        <v>184</v>
      </c>
      <c r="E21" s="13" t="s">
        <v>99</v>
      </c>
      <c r="F21" s="13" t="s">
        <v>100</v>
      </c>
      <c r="G21" s="13"/>
      <c r="H21" s="13"/>
      <c r="I21" s="13" t="s">
        <v>18</v>
      </c>
      <c r="J21" s="13" t="s">
        <v>62</v>
      </c>
      <c r="K21" s="15"/>
      <c r="L21" s="13" t="s">
        <v>57</v>
      </c>
      <c r="M21" s="13"/>
      <c r="N21" s="16"/>
      <c r="O21" s="3"/>
      <c r="P21" s="3"/>
      <c r="Q21" s="3"/>
    </row>
    <row r="22" spans="1:17" x14ac:dyDescent="0.4">
      <c r="A22" s="16"/>
      <c r="B22" s="13"/>
      <c r="C22" s="13"/>
      <c r="D22" s="13" t="s">
        <v>184</v>
      </c>
      <c r="E22" s="13" t="s">
        <v>101</v>
      </c>
      <c r="F22" s="20" t="s">
        <v>102</v>
      </c>
      <c r="G22" s="13" t="s">
        <v>38</v>
      </c>
      <c r="H22" s="13" t="s">
        <v>30</v>
      </c>
      <c r="I22" s="13" t="s">
        <v>18</v>
      </c>
      <c r="J22" s="13" t="s">
        <v>62</v>
      </c>
      <c r="K22" s="15">
        <v>3000</v>
      </c>
      <c r="L22" s="13" t="s">
        <v>57</v>
      </c>
      <c r="M22" s="13">
        <v>50</v>
      </c>
      <c r="N22" s="16"/>
      <c r="O22" s="3"/>
      <c r="P22" s="3"/>
      <c r="Q22" s="3"/>
    </row>
    <row r="23" spans="1:17" x14ac:dyDescent="0.4">
      <c r="A23" s="16"/>
      <c r="B23" s="37" t="s">
        <v>162</v>
      </c>
      <c r="C23" s="13"/>
      <c r="D23" s="13" t="s">
        <v>184</v>
      </c>
      <c r="E23" s="37" t="s">
        <v>104</v>
      </c>
      <c r="F23" s="20" t="s">
        <v>103</v>
      </c>
      <c r="G23" s="13" t="s">
        <v>39</v>
      </c>
      <c r="H23" s="13" t="s">
        <v>25</v>
      </c>
      <c r="I23" s="13" t="s">
        <v>18</v>
      </c>
      <c r="J23" s="13" t="s">
        <v>37</v>
      </c>
      <c r="K23" s="15">
        <v>3500</v>
      </c>
      <c r="L23" s="13" t="s">
        <v>54</v>
      </c>
      <c r="M23" s="13">
        <v>50</v>
      </c>
      <c r="N23" s="16" t="s">
        <v>105</v>
      </c>
      <c r="O23" s="3"/>
      <c r="P23" s="3"/>
      <c r="Q23" s="3"/>
    </row>
    <row r="24" spans="1:17" x14ac:dyDescent="0.4">
      <c r="A24" s="13"/>
      <c r="B24" s="39"/>
      <c r="C24" s="13"/>
      <c r="D24" s="13" t="s">
        <v>24</v>
      </c>
      <c r="E24" s="39"/>
      <c r="F24" s="13" t="s">
        <v>106</v>
      </c>
      <c r="G24" s="13" t="s">
        <v>39</v>
      </c>
      <c r="H24" s="13" t="s">
        <v>108</v>
      </c>
      <c r="I24" s="13" t="s">
        <v>18</v>
      </c>
      <c r="J24" s="13" t="s">
        <v>53</v>
      </c>
      <c r="K24" s="15">
        <v>1700</v>
      </c>
      <c r="L24" s="13" t="s">
        <v>54</v>
      </c>
      <c r="M24" s="13">
        <v>70</v>
      </c>
      <c r="N24" s="16"/>
      <c r="O24" s="3"/>
      <c r="P24" s="3"/>
      <c r="Q24" s="3"/>
    </row>
    <row r="25" spans="1:17" x14ac:dyDescent="0.4">
      <c r="A25" s="13"/>
      <c r="B25" s="38"/>
      <c r="C25" s="13"/>
      <c r="D25" s="13" t="s">
        <v>23</v>
      </c>
      <c r="E25" s="38"/>
      <c r="F25" s="13" t="s">
        <v>107</v>
      </c>
      <c r="G25" s="13" t="s">
        <v>39</v>
      </c>
      <c r="H25" s="13" t="s">
        <v>17</v>
      </c>
      <c r="I25" s="13" t="s">
        <v>22</v>
      </c>
      <c r="J25" s="13" t="s">
        <v>37</v>
      </c>
      <c r="K25" s="15">
        <v>1700</v>
      </c>
      <c r="L25" s="13" t="s">
        <v>54</v>
      </c>
      <c r="M25" s="13">
        <v>50</v>
      </c>
      <c r="N25" s="16"/>
      <c r="O25" s="3"/>
      <c r="P25" s="3"/>
      <c r="Q25" s="3"/>
    </row>
    <row r="26" spans="1:17" x14ac:dyDescent="0.4">
      <c r="A26" s="13" t="s">
        <v>13</v>
      </c>
      <c r="B26" s="13">
        <v>1</v>
      </c>
      <c r="C26" s="13"/>
      <c r="D26" s="13" t="s">
        <v>184</v>
      </c>
      <c r="E26" s="13" t="s">
        <v>109</v>
      </c>
      <c r="F26" s="13" t="s">
        <v>110</v>
      </c>
      <c r="G26" s="13" t="s">
        <v>37</v>
      </c>
      <c r="H26" s="13"/>
      <c r="I26" s="13" t="s">
        <v>22</v>
      </c>
      <c r="J26" s="13" t="s">
        <v>37</v>
      </c>
      <c r="K26" s="15">
        <v>2970</v>
      </c>
      <c r="L26" s="13" t="s">
        <v>54</v>
      </c>
      <c r="M26" s="13">
        <v>12</v>
      </c>
      <c r="N26" s="16" t="s">
        <v>111</v>
      </c>
      <c r="O26" s="3"/>
      <c r="P26" s="3"/>
      <c r="Q26" s="3"/>
    </row>
    <row r="27" spans="1:17" x14ac:dyDescent="0.4">
      <c r="A27" s="13"/>
      <c r="B27" s="13">
        <v>20</v>
      </c>
      <c r="C27" s="13"/>
      <c r="D27" s="13" t="s">
        <v>184</v>
      </c>
      <c r="E27" s="13" t="s">
        <v>114</v>
      </c>
      <c r="F27" s="13" t="s">
        <v>112</v>
      </c>
      <c r="G27" s="13" t="s">
        <v>37</v>
      </c>
      <c r="H27" s="13" t="s">
        <v>115</v>
      </c>
      <c r="I27" s="13" t="s">
        <v>18</v>
      </c>
      <c r="J27" s="13"/>
      <c r="K27" s="15"/>
      <c r="L27" s="13" t="s">
        <v>56</v>
      </c>
      <c r="M27" s="13">
        <v>50</v>
      </c>
      <c r="N27" s="16" t="s">
        <v>262</v>
      </c>
      <c r="O27" s="3"/>
      <c r="P27" s="3"/>
      <c r="Q27" s="3"/>
    </row>
    <row r="28" spans="1:17" x14ac:dyDescent="0.4">
      <c r="A28" s="13" t="s">
        <v>33</v>
      </c>
      <c r="B28" s="13" t="s">
        <v>145</v>
      </c>
      <c r="C28" s="13"/>
      <c r="D28" s="13" t="s">
        <v>184</v>
      </c>
      <c r="E28" s="13" t="s">
        <v>117</v>
      </c>
      <c r="F28" s="13" t="s">
        <v>116</v>
      </c>
      <c r="G28" s="13" t="s">
        <v>39</v>
      </c>
      <c r="H28" s="13" t="s">
        <v>28</v>
      </c>
      <c r="I28" s="13" t="s">
        <v>18</v>
      </c>
      <c r="J28" s="13" t="s">
        <v>74</v>
      </c>
      <c r="K28" s="15"/>
      <c r="L28" s="13"/>
      <c r="M28" s="13"/>
      <c r="N28" s="16"/>
      <c r="O28" s="3"/>
      <c r="P28" s="3"/>
      <c r="Q28" s="3"/>
    </row>
    <row r="29" spans="1:17" x14ac:dyDescent="0.4">
      <c r="A29" s="13" t="s">
        <v>33</v>
      </c>
      <c r="B29" s="13" t="s">
        <v>131</v>
      </c>
      <c r="C29" s="13" t="s">
        <v>121</v>
      </c>
      <c r="D29" s="13" t="s">
        <v>26</v>
      </c>
      <c r="E29" s="13" t="s">
        <v>118</v>
      </c>
      <c r="F29" s="13" t="s">
        <v>119</v>
      </c>
      <c r="G29" s="13" t="s">
        <v>39</v>
      </c>
      <c r="H29" s="13" t="s">
        <v>120</v>
      </c>
      <c r="I29" s="13" t="s">
        <v>22</v>
      </c>
      <c r="J29" s="13" t="s">
        <v>77</v>
      </c>
      <c r="K29" s="15">
        <v>2500</v>
      </c>
      <c r="L29" s="13" t="s">
        <v>55</v>
      </c>
      <c r="M29" s="13">
        <v>100</v>
      </c>
      <c r="N29" s="16" t="s">
        <v>59</v>
      </c>
      <c r="O29" s="3"/>
      <c r="P29" s="3"/>
      <c r="Q29" s="3"/>
    </row>
    <row r="30" spans="1:17" x14ac:dyDescent="0.4">
      <c r="A30" s="13" t="s">
        <v>13</v>
      </c>
      <c r="B30" s="13">
        <v>18</v>
      </c>
      <c r="C30" s="21"/>
      <c r="D30" s="13" t="s">
        <v>23</v>
      </c>
      <c r="E30" s="13" t="s">
        <v>122</v>
      </c>
      <c r="F30" s="13" t="s">
        <v>123</v>
      </c>
      <c r="G30" s="13" t="s">
        <v>39</v>
      </c>
      <c r="H30" s="13" t="s">
        <v>30</v>
      </c>
      <c r="I30" s="13" t="s">
        <v>22</v>
      </c>
      <c r="J30" s="13" t="s">
        <v>77</v>
      </c>
      <c r="K30" s="15">
        <v>5000</v>
      </c>
      <c r="L30" s="13" t="s">
        <v>56</v>
      </c>
      <c r="M30" s="13">
        <v>60</v>
      </c>
      <c r="N30" s="22"/>
      <c r="O30" s="3"/>
      <c r="P30" s="3"/>
      <c r="Q30" s="3"/>
    </row>
    <row r="31" spans="1:17" x14ac:dyDescent="0.4">
      <c r="A31" s="13" t="s">
        <v>13</v>
      </c>
      <c r="B31" s="13">
        <v>84</v>
      </c>
      <c r="C31" s="13"/>
      <c r="D31" s="13" t="s">
        <v>184</v>
      </c>
      <c r="E31" s="13" t="s">
        <v>125</v>
      </c>
      <c r="F31" s="13" t="s">
        <v>124</v>
      </c>
      <c r="G31" s="13" t="s">
        <v>39</v>
      </c>
      <c r="H31" s="13"/>
      <c r="I31" s="13" t="s">
        <v>18</v>
      </c>
      <c r="J31" s="13"/>
      <c r="K31" s="15"/>
      <c r="L31" s="13"/>
      <c r="M31" s="13"/>
      <c r="N31" s="16"/>
      <c r="O31" s="3"/>
      <c r="P31" s="3"/>
      <c r="Q31" s="3"/>
    </row>
    <row r="32" spans="1:17" x14ac:dyDescent="0.4">
      <c r="A32" s="13" t="s">
        <v>13</v>
      </c>
      <c r="B32" s="13" t="s">
        <v>126</v>
      </c>
      <c r="C32" s="13"/>
      <c r="D32" s="13" t="s">
        <v>23</v>
      </c>
      <c r="E32" s="13" t="s">
        <v>127</v>
      </c>
      <c r="F32" s="13" t="s">
        <v>127</v>
      </c>
      <c r="G32" s="13" t="s">
        <v>37</v>
      </c>
      <c r="H32" s="13"/>
      <c r="I32" s="13" t="s">
        <v>128</v>
      </c>
      <c r="J32" s="13" t="s">
        <v>14</v>
      </c>
      <c r="K32" s="15">
        <v>2000</v>
      </c>
      <c r="L32" s="13" t="s">
        <v>54</v>
      </c>
      <c r="M32" s="13">
        <v>80</v>
      </c>
      <c r="N32" s="16"/>
      <c r="O32" s="3"/>
      <c r="P32" s="3"/>
      <c r="Q32" s="3"/>
    </row>
    <row r="33" spans="1:17" x14ac:dyDescent="0.4">
      <c r="A33" s="13" t="s">
        <v>13</v>
      </c>
      <c r="B33" s="13">
        <v>82</v>
      </c>
      <c r="C33" s="13"/>
      <c r="D33" s="13" t="s">
        <v>184</v>
      </c>
      <c r="E33" s="13" t="s">
        <v>130</v>
      </c>
      <c r="F33" s="13" t="s">
        <v>129</v>
      </c>
      <c r="G33" s="13"/>
      <c r="H33" s="13"/>
      <c r="I33" s="13" t="s">
        <v>18</v>
      </c>
      <c r="J33" s="13"/>
      <c r="K33" s="15"/>
      <c r="L33" s="13"/>
      <c r="M33" s="13">
        <v>50</v>
      </c>
      <c r="N33" s="16"/>
      <c r="O33" s="3"/>
      <c r="P33" s="3"/>
      <c r="Q33" s="3"/>
    </row>
    <row r="34" spans="1:17" x14ac:dyDescent="0.4">
      <c r="A34" s="13" t="s">
        <v>13</v>
      </c>
      <c r="B34" s="13" t="s">
        <v>135</v>
      </c>
      <c r="C34" s="13"/>
      <c r="D34" s="13" t="s">
        <v>184</v>
      </c>
      <c r="E34" s="13" t="s">
        <v>133</v>
      </c>
      <c r="F34" s="13" t="s">
        <v>134</v>
      </c>
      <c r="G34" s="13"/>
      <c r="H34" s="13"/>
      <c r="I34" s="13"/>
      <c r="J34" s="13"/>
      <c r="K34" s="15"/>
      <c r="L34" s="13"/>
      <c r="M34" s="13">
        <v>50</v>
      </c>
      <c r="N34" s="16"/>
      <c r="O34" s="3"/>
      <c r="P34" s="3"/>
      <c r="Q34" s="3"/>
    </row>
    <row r="35" spans="1:17" x14ac:dyDescent="0.4">
      <c r="A35" s="13" t="s">
        <v>13</v>
      </c>
      <c r="B35" s="13" t="s">
        <v>138</v>
      </c>
      <c r="C35" s="13"/>
      <c r="D35" s="13" t="s">
        <v>184</v>
      </c>
      <c r="E35" s="13" t="s">
        <v>136</v>
      </c>
      <c r="F35" s="13" t="s">
        <v>137</v>
      </c>
      <c r="G35" s="13" t="s">
        <v>39</v>
      </c>
      <c r="H35" s="13"/>
      <c r="I35" s="13" t="s">
        <v>22</v>
      </c>
      <c r="J35" s="13" t="s">
        <v>62</v>
      </c>
      <c r="K35" s="15">
        <v>6500</v>
      </c>
      <c r="L35" s="13"/>
      <c r="M35" s="13">
        <v>0</v>
      </c>
      <c r="N35" s="16"/>
      <c r="O35" s="3"/>
      <c r="P35" s="3"/>
      <c r="Q35" s="3"/>
    </row>
    <row r="36" spans="1:17" x14ac:dyDescent="0.4">
      <c r="A36" s="13" t="s">
        <v>33</v>
      </c>
      <c r="B36" s="13" t="s">
        <v>142</v>
      </c>
      <c r="C36" s="13"/>
      <c r="D36" s="13" t="s">
        <v>184</v>
      </c>
      <c r="E36" s="13" t="s">
        <v>141</v>
      </c>
      <c r="F36" s="13" t="s">
        <v>140</v>
      </c>
      <c r="G36" s="13" t="s">
        <v>39</v>
      </c>
      <c r="H36" s="13" t="s">
        <v>143</v>
      </c>
      <c r="I36" s="13" t="s">
        <v>22</v>
      </c>
      <c r="J36" s="13" t="s">
        <v>53</v>
      </c>
      <c r="K36" s="15"/>
      <c r="L36" s="13"/>
      <c r="M36" s="13">
        <v>50</v>
      </c>
      <c r="N36" s="16"/>
      <c r="O36" s="3"/>
      <c r="P36" s="3"/>
      <c r="Q36" s="3"/>
    </row>
    <row r="37" spans="1:17" x14ac:dyDescent="0.4">
      <c r="A37" s="13" t="s">
        <v>13</v>
      </c>
      <c r="B37" s="13" t="s">
        <v>148</v>
      </c>
      <c r="C37" s="18"/>
      <c r="D37" s="13" t="s">
        <v>184</v>
      </c>
      <c r="E37" s="13" t="s">
        <v>147</v>
      </c>
      <c r="F37" s="13" t="s">
        <v>146</v>
      </c>
      <c r="G37" s="13" t="s">
        <v>39</v>
      </c>
      <c r="H37" s="13" t="s">
        <v>149</v>
      </c>
      <c r="I37" s="13" t="s">
        <v>18</v>
      </c>
      <c r="J37" s="13" t="s">
        <v>53</v>
      </c>
      <c r="K37" s="15"/>
      <c r="L37" s="13"/>
      <c r="M37" s="13">
        <v>50</v>
      </c>
      <c r="N37" s="16"/>
      <c r="O37" s="3"/>
      <c r="P37" s="3"/>
      <c r="Q37" s="3"/>
    </row>
    <row r="38" spans="1:17" x14ac:dyDescent="0.4">
      <c r="A38" s="13" t="s">
        <v>13</v>
      </c>
      <c r="B38" s="13" t="s">
        <v>150</v>
      </c>
      <c r="C38" s="13"/>
      <c r="D38" s="13" t="s">
        <v>23</v>
      </c>
      <c r="E38" s="13" t="s">
        <v>151</v>
      </c>
      <c r="F38" s="13" t="s">
        <v>152</v>
      </c>
      <c r="G38" s="13" t="s">
        <v>37</v>
      </c>
      <c r="H38" s="13"/>
      <c r="I38" s="13" t="s">
        <v>18</v>
      </c>
      <c r="J38" s="13" t="s">
        <v>29</v>
      </c>
      <c r="K38" s="15"/>
      <c r="L38" s="13"/>
      <c r="M38" s="13">
        <v>50</v>
      </c>
      <c r="N38" s="16" t="s">
        <v>153</v>
      </c>
      <c r="O38" s="3"/>
      <c r="P38" s="3"/>
      <c r="Q38" s="3"/>
    </row>
    <row r="39" spans="1:17" x14ac:dyDescent="0.4">
      <c r="A39" s="13" t="s">
        <v>33</v>
      </c>
      <c r="B39" s="13" t="s">
        <v>158</v>
      </c>
      <c r="C39" s="13"/>
      <c r="D39" s="13" t="s">
        <v>23</v>
      </c>
      <c r="E39" s="13" t="s">
        <v>155</v>
      </c>
      <c r="F39" s="13" t="s">
        <v>156</v>
      </c>
      <c r="G39" s="13" t="s">
        <v>36</v>
      </c>
      <c r="H39" s="13" t="s">
        <v>108</v>
      </c>
      <c r="I39" s="13" t="s">
        <v>22</v>
      </c>
      <c r="J39" s="13" t="s">
        <v>37</v>
      </c>
      <c r="K39" s="15"/>
      <c r="L39" s="13"/>
      <c r="M39" s="13">
        <v>50</v>
      </c>
      <c r="N39" s="16" t="s">
        <v>157</v>
      </c>
      <c r="O39" s="3"/>
      <c r="P39" s="3"/>
      <c r="Q39" s="3"/>
    </row>
    <row r="40" spans="1:17" x14ac:dyDescent="0.4">
      <c r="A40" s="13" t="s">
        <v>33</v>
      </c>
      <c r="B40" s="13" t="s">
        <v>161</v>
      </c>
      <c r="C40" s="13"/>
      <c r="D40" s="13" t="s">
        <v>23</v>
      </c>
      <c r="E40" s="13" t="s">
        <v>160</v>
      </c>
      <c r="F40" s="13" t="s">
        <v>159</v>
      </c>
      <c r="G40" s="13" t="s">
        <v>39</v>
      </c>
      <c r="H40" s="13" t="s">
        <v>25</v>
      </c>
      <c r="I40" s="13" t="s">
        <v>18</v>
      </c>
      <c r="J40" s="13" t="s">
        <v>62</v>
      </c>
      <c r="K40" s="15">
        <v>1000</v>
      </c>
      <c r="L40" s="13"/>
      <c r="M40" s="13">
        <v>50</v>
      </c>
      <c r="N40" s="16"/>
      <c r="O40" s="3"/>
      <c r="P40" s="3"/>
      <c r="Q40" s="3"/>
    </row>
    <row r="41" spans="1:17" x14ac:dyDescent="0.4">
      <c r="A41" s="13" t="s">
        <v>13</v>
      </c>
      <c r="B41" s="13" t="s">
        <v>166</v>
      </c>
      <c r="C41" s="13"/>
      <c r="D41" s="13" t="s">
        <v>184</v>
      </c>
      <c r="E41" s="13" t="s">
        <v>165</v>
      </c>
      <c r="F41" s="13" t="s">
        <v>163</v>
      </c>
      <c r="G41" s="13" t="s">
        <v>36</v>
      </c>
      <c r="H41" s="13"/>
      <c r="I41" s="13" t="s">
        <v>22</v>
      </c>
      <c r="J41" s="13" t="s">
        <v>164</v>
      </c>
      <c r="K41" s="15"/>
      <c r="L41" s="13"/>
      <c r="M41" s="13"/>
      <c r="N41" s="16"/>
      <c r="O41" s="3"/>
      <c r="P41" s="3"/>
      <c r="Q41" s="3"/>
    </row>
    <row r="42" spans="1:17" x14ac:dyDescent="0.4">
      <c r="A42" s="16" t="s">
        <v>34</v>
      </c>
      <c r="B42" s="13" t="s">
        <v>167</v>
      </c>
      <c r="C42" s="13"/>
      <c r="D42" s="13" t="s">
        <v>184</v>
      </c>
      <c r="E42" s="13" t="s">
        <v>168</v>
      </c>
      <c r="F42" s="13" t="s">
        <v>168</v>
      </c>
      <c r="G42" s="13"/>
      <c r="H42" s="13"/>
      <c r="I42" s="13" t="s">
        <v>18</v>
      </c>
      <c r="J42" s="13"/>
      <c r="K42" s="15"/>
      <c r="L42" s="13"/>
      <c r="M42" s="13">
        <v>50</v>
      </c>
      <c r="N42" s="16"/>
      <c r="O42" s="3"/>
      <c r="P42" s="3"/>
      <c r="Q42" s="3"/>
    </row>
    <row r="43" spans="1:17" x14ac:dyDescent="0.4">
      <c r="A43" s="16"/>
      <c r="B43" s="13"/>
      <c r="C43" s="13"/>
      <c r="D43" s="13" t="s">
        <v>184</v>
      </c>
      <c r="E43" s="13" t="s">
        <v>175</v>
      </c>
      <c r="F43" s="13" t="s">
        <v>175</v>
      </c>
      <c r="G43" s="13" t="s">
        <v>36</v>
      </c>
      <c r="H43" s="13"/>
      <c r="I43" s="13" t="s">
        <v>18</v>
      </c>
      <c r="J43" s="13" t="s">
        <v>62</v>
      </c>
      <c r="K43" s="15"/>
      <c r="L43" s="13"/>
      <c r="M43" s="13"/>
      <c r="N43" s="16"/>
      <c r="O43" s="3"/>
      <c r="P43" s="3"/>
      <c r="Q43" s="3"/>
    </row>
    <row r="44" spans="1:17" x14ac:dyDescent="0.4">
      <c r="A44" s="13" t="s">
        <v>13</v>
      </c>
      <c r="B44" s="13" t="s">
        <v>179</v>
      </c>
      <c r="C44" s="13"/>
      <c r="D44" s="13" t="s">
        <v>184</v>
      </c>
      <c r="E44" s="13" t="s">
        <v>178</v>
      </c>
      <c r="F44" s="13" t="s">
        <v>177</v>
      </c>
      <c r="G44" s="13" t="s">
        <v>35</v>
      </c>
      <c r="H44" s="13" t="s">
        <v>30</v>
      </c>
      <c r="I44" s="13" t="s">
        <v>180</v>
      </c>
      <c r="J44" s="13" t="s">
        <v>62</v>
      </c>
      <c r="K44" s="9">
        <v>2500</v>
      </c>
      <c r="L44" s="13"/>
      <c r="M44" s="13"/>
      <c r="N44" s="16"/>
      <c r="O44" s="3"/>
      <c r="P44" s="3"/>
      <c r="Q44" s="3"/>
    </row>
    <row r="45" spans="1:17" x14ac:dyDescent="0.4">
      <c r="A45" s="13" t="s">
        <v>33</v>
      </c>
      <c r="B45" s="13" t="s">
        <v>183</v>
      </c>
      <c r="C45" s="13"/>
      <c r="D45" s="13" t="s">
        <v>24</v>
      </c>
      <c r="E45" s="13" t="s">
        <v>181</v>
      </c>
      <c r="F45" s="13" t="s">
        <v>174</v>
      </c>
      <c r="G45" s="13" t="s">
        <v>39</v>
      </c>
      <c r="H45" s="13"/>
      <c r="I45" s="13" t="s">
        <v>22</v>
      </c>
      <c r="J45" s="13" t="s">
        <v>45</v>
      </c>
      <c r="K45" s="15">
        <v>2200</v>
      </c>
      <c r="L45" s="13" t="s">
        <v>54</v>
      </c>
      <c r="M45" s="13">
        <v>80</v>
      </c>
      <c r="N45" s="16" t="s">
        <v>182</v>
      </c>
      <c r="O45" s="3"/>
      <c r="P45" s="3"/>
      <c r="Q45" s="3"/>
    </row>
    <row r="46" spans="1:17" x14ac:dyDescent="0.4">
      <c r="A46" s="13"/>
      <c r="B46" s="13" t="s">
        <v>193</v>
      </c>
      <c r="C46" s="13"/>
      <c r="D46" s="13" t="s">
        <v>24</v>
      </c>
      <c r="E46" s="13" t="s">
        <v>192</v>
      </c>
      <c r="F46" s="13" t="s">
        <v>191</v>
      </c>
      <c r="G46" s="13" t="s">
        <v>35</v>
      </c>
      <c r="H46" s="13" t="s">
        <v>19</v>
      </c>
      <c r="I46" s="13" t="s">
        <v>180</v>
      </c>
      <c r="J46" s="13" t="s">
        <v>164</v>
      </c>
      <c r="K46" s="15">
        <v>2000</v>
      </c>
      <c r="L46" s="13" t="s">
        <v>54</v>
      </c>
      <c r="M46" s="13">
        <v>100</v>
      </c>
      <c r="N46" s="16"/>
      <c r="O46" s="3"/>
      <c r="P46" s="3"/>
      <c r="Q46" s="3"/>
    </row>
    <row r="47" spans="1:17" x14ac:dyDescent="0.4">
      <c r="A47" s="13" t="s">
        <v>33</v>
      </c>
      <c r="B47" s="13" t="s">
        <v>197</v>
      </c>
      <c r="C47" s="13"/>
      <c r="D47" s="13" t="s">
        <v>184</v>
      </c>
      <c r="E47" s="13" t="s">
        <v>198</v>
      </c>
      <c r="F47" s="13" t="s">
        <v>196</v>
      </c>
      <c r="G47" s="13" t="s">
        <v>37</v>
      </c>
      <c r="H47" s="13"/>
      <c r="I47" s="13" t="s">
        <v>18</v>
      </c>
      <c r="J47" s="13" t="s">
        <v>77</v>
      </c>
      <c r="K47" s="15">
        <v>3000</v>
      </c>
      <c r="L47" s="13" t="s">
        <v>56</v>
      </c>
      <c r="M47" s="13"/>
      <c r="N47" s="16" t="s">
        <v>199</v>
      </c>
      <c r="O47" s="3"/>
      <c r="P47" s="3"/>
      <c r="Q47" s="3"/>
    </row>
    <row r="48" spans="1:17" x14ac:dyDescent="0.4">
      <c r="A48" s="16" t="s">
        <v>13</v>
      </c>
      <c r="B48" s="37">
        <v>49</v>
      </c>
      <c r="C48" s="13"/>
      <c r="D48" s="13" t="s">
        <v>23</v>
      </c>
      <c r="E48" s="37" t="s">
        <v>210</v>
      </c>
      <c r="F48" s="13" t="s">
        <v>189</v>
      </c>
      <c r="G48" s="13" t="s">
        <v>39</v>
      </c>
      <c r="H48" s="13" t="s">
        <v>211</v>
      </c>
      <c r="I48" s="13" t="s">
        <v>22</v>
      </c>
      <c r="J48" s="13" t="s">
        <v>45</v>
      </c>
      <c r="K48" s="15">
        <v>2750</v>
      </c>
      <c r="L48" s="13" t="s">
        <v>54</v>
      </c>
      <c r="M48" s="13"/>
      <c r="N48" s="16"/>
      <c r="O48" s="3"/>
      <c r="P48" s="3"/>
      <c r="Q48" s="3"/>
    </row>
    <row r="49" spans="1:17" x14ac:dyDescent="0.4">
      <c r="A49" s="16" t="s">
        <v>13</v>
      </c>
      <c r="B49" s="38"/>
      <c r="C49" s="13"/>
      <c r="D49" s="13" t="s">
        <v>23</v>
      </c>
      <c r="E49" s="38"/>
      <c r="F49" s="13" t="s">
        <v>237</v>
      </c>
      <c r="G49" s="13" t="s">
        <v>39</v>
      </c>
      <c r="H49" s="13"/>
      <c r="I49" s="13" t="s">
        <v>22</v>
      </c>
      <c r="J49" s="13" t="s">
        <v>227</v>
      </c>
      <c r="K49" s="15">
        <v>3000</v>
      </c>
      <c r="L49" s="13" t="s">
        <v>55</v>
      </c>
      <c r="M49" s="13">
        <v>100</v>
      </c>
      <c r="N49" s="16" t="s">
        <v>238</v>
      </c>
      <c r="O49" s="3"/>
      <c r="P49" s="3"/>
      <c r="Q49" s="3"/>
    </row>
    <row r="50" spans="1:17" x14ac:dyDescent="0.4">
      <c r="A50" s="16" t="s">
        <v>13</v>
      </c>
      <c r="B50" s="13" t="s">
        <v>212</v>
      </c>
      <c r="C50" s="13"/>
      <c r="D50" s="13" t="s">
        <v>215</v>
      </c>
      <c r="E50" s="13" t="s">
        <v>213</v>
      </c>
      <c r="F50" s="13" t="s">
        <v>214</v>
      </c>
      <c r="G50" s="13" t="s">
        <v>38</v>
      </c>
      <c r="H50" s="13" t="s">
        <v>30</v>
      </c>
      <c r="I50" s="13" t="s">
        <v>18</v>
      </c>
      <c r="J50" s="13" t="s">
        <v>216</v>
      </c>
      <c r="K50" s="15">
        <v>2500</v>
      </c>
      <c r="L50" s="13" t="s">
        <v>56</v>
      </c>
      <c r="M50" s="13"/>
      <c r="N50" s="16"/>
      <c r="O50" s="3"/>
      <c r="P50" s="3"/>
      <c r="Q50" s="3"/>
    </row>
    <row r="51" spans="1:17" x14ac:dyDescent="0.4">
      <c r="A51" s="16" t="s">
        <v>13</v>
      </c>
      <c r="B51" s="13" t="s">
        <v>220</v>
      </c>
      <c r="C51" s="13"/>
      <c r="D51" s="13" t="s">
        <v>184</v>
      </c>
      <c r="E51" s="13" t="s">
        <v>221</v>
      </c>
      <c r="F51" s="13" t="s">
        <v>217</v>
      </c>
      <c r="G51" s="13" t="s">
        <v>39</v>
      </c>
      <c r="H51" s="13" t="s">
        <v>218</v>
      </c>
      <c r="I51" s="13" t="s">
        <v>18</v>
      </c>
      <c r="J51" s="13" t="s">
        <v>29</v>
      </c>
      <c r="K51" s="15"/>
      <c r="L51" s="13"/>
      <c r="M51" s="13">
        <v>50</v>
      </c>
      <c r="N51" s="16" t="s">
        <v>219</v>
      </c>
      <c r="O51" s="3"/>
      <c r="P51" s="3"/>
      <c r="Q51" s="3"/>
    </row>
    <row r="52" spans="1:17" x14ac:dyDescent="0.4">
      <c r="A52" s="16" t="s">
        <v>13</v>
      </c>
      <c r="B52" s="13">
        <v>33</v>
      </c>
      <c r="C52" s="13"/>
      <c r="D52" s="13" t="s">
        <v>24</v>
      </c>
      <c r="E52" s="13" t="s">
        <v>223</v>
      </c>
      <c r="F52" s="13" t="s">
        <v>224</v>
      </c>
      <c r="G52" s="13" t="s">
        <v>39</v>
      </c>
      <c r="H52" s="13"/>
      <c r="I52" s="13" t="s">
        <v>22</v>
      </c>
      <c r="J52" s="13"/>
      <c r="K52" s="15">
        <v>2500</v>
      </c>
      <c r="L52" s="13" t="s">
        <v>54</v>
      </c>
      <c r="M52" s="13">
        <v>80</v>
      </c>
      <c r="N52" s="16"/>
      <c r="O52" s="3"/>
      <c r="P52" s="3"/>
      <c r="Q52" s="3"/>
    </row>
    <row r="53" spans="1:17" x14ac:dyDescent="0.4">
      <c r="A53" s="16" t="s">
        <v>13</v>
      </c>
      <c r="B53" s="13">
        <v>23</v>
      </c>
      <c r="C53" s="13"/>
      <c r="D53" s="13" t="s">
        <v>23</v>
      </c>
      <c r="E53" s="37" t="s">
        <v>222</v>
      </c>
      <c r="F53" s="13" t="s">
        <v>226</v>
      </c>
      <c r="G53" s="13" t="s">
        <v>39</v>
      </c>
      <c r="H53" s="13"/>
      <c r="I53" s="13" t="s">
        <v>22</v>
      </c>
      <c r="J53" s="13" t="s">
        <v>227</v>
      </c>
      <c r="K53" s="15">
        <v>3000</v>
      </c>
      <c r="L53" s="13"/>
      <c r="M53" s="13">
        <v>50</v>
      </c>
      <c r="N53" s="16"/>
      <c r="O53" s="3"/>
      <c r="P53" s="3"/>
      <c r="Q53" s="3"/>
    </row>
    <row r="54" spans="1:17" x14ac:dyDescent="0.4">
      <c r="A54" s="16" t="s">
        <v>13</v>
      </c>
      <c r="B54" s="13">
        <v>23</v>
      </c>
      <c r="C54" s="13"/>
      <c r="D54" s="13" t="s">
        <v>24</v>
      </c>
      <c r="E54" s="38"/>
      <c r="F54" s="13" t="s">
        <v>225</v>
      </c>
      <c r="G54" s="13" t="s">
        <v>39</v>
      </c>
      <c r="H54" s="13"/>
      <c r="I54" s="13" t="s">
        <v>18</v>
      </c>
      <c r="J54" s="13" t="s">
        <v>37</v>
      </c>
      <c r="K54" s="15">
        <v>3760</v>
      </c>
      <c r="L54" s="13" t="s">
        <v>54</v>
      </c>
      <c r="M54" s="13">
        <v>100</v>
      </c>
      <c r="N54" s="16"/>
      <c r="O54" s="3"/>
      <c r="P54" s="3"/>
      <c r="Q54" s="3"/>
    </row>
    <row r="55" spans="1:17" x14ac:dyDescent="0.4">
      <c r="A55" s="16" t="s">
        <v>13</v>
      </c>
      <c r="B55" s="13">
        <v>53</v>
      </c>
      <c r="C55" s="18"/>
      <c r="D55" s="13" t="s">
        <v>23</v>
      </c>
      <c r="E55" s="13" t="s">
        <v>228</v>
      </c>
      <c r="F55" s="13" t="s">
        <v>229</v>
      </c>
      <c r="G55" s="13" t="s">
        <v>38</v>
      </c>
      <c r="H55" s="13"/>
      <c r="I55" s="13" t="s">
        <v>180</v>
      </c>
      <c r="J55" s="13" t="s">
        <v>77</v>
      </c>
      <c r="K55" s="15">
        <v>2000</v>
      </c>
      <c r="L55" s="13" t="s">
        <v>54</v>
      </c>
      <c r="M55" s="13"/>
      <c r="N55" s="16" t="s">
        <v>239</v>
      </c>
      <c r="O55" s="3"/>
      <c r="P55" s="3"/>
      <c r="Q55" s="3"/>
    </row>
    <row r="56" spans="1:17" x14ac:dyDescent="0.4">
      <c r="A56" s="16" t="s">
        <v>33</v>
      </c>
      <c r="B56" s="13" t="s">
        <v>251</v>
      </c>
      <c r="C56" s="18"/>
      <c r="D56" s="13" t="s">
        <v>24</v>
      </c>
      <c r="E56" s="13" t="s">
        <v>232</v>
      </c>
      <c r="F56" s="13" t="s">
        <v>231</v>
      </c>
      <c r="G56" s="13" t="s">
        <v>39</v>
      </c>
      <c r="H56" s="13"/>
      <c r="I56" s="13" t="s">
        <v>22</v>
      </c>
      <c r="J56" s="13" t="s">
        <v>45</v>
      </c>
      <c r="K56" s="15">
        <v>3500</v>
      </c>
      <c r="L56" s="13" t="s">
        <v>54</v>
      </c>
      <c r="M56" s="13">
        <v>100</v>
      </c>
      <c r="N56" s="16"/>
      <c r="O56" s="3"/>
      <c r="P56" s="3"/>
      <c r="Q56" s="3"/>
    </row>
    <row r="57" spans="1:17" x14ac:dyDescent="0.4">
      <c r="A57" s="16" t="s">
        <v>13</v>
      </c>
      <c r="B57" s="13">
        <v>78</v>
      </c>
      <c r="C57" s="18"/>
      <c r="D57" s="13" t="s">
        <v>24</v>
      </c>
      <c r="E57" s="13" t="s">
        <v>241</v>
      </c>
      <c r="F57" s="13" t="s">
        <v>240</v>
      </c>
      <c r="G57" s="13" t="s">
        <v>38</v>
      </c>
      <c r="H57" s="13" t="s">
        <v>19</v>
      </c>
      <c r="I57" s="13" t="s">
        <v>22</v>
      </c>
      <c r="J57" s="13" t="s">
        <v>164</v>
      </c>
      <c r="K57" s="15">
        <v>3500</v>
      </c>
      <c r="L57" s="13" t="s">
        <v>54</v>
      </c>
      <c r="M57" s="13">
        <v>100</v>
      </c>
      <c r="N57" s="16"/>
      <c r="O57" s="3"/>
      <c r="P57" s="3"/>
      <c r="Q57" s="3"/>
    </row>
    <row r="58" spans="1:17" x14ac:dyDescent="0.4">
      <c r="A58" s="16" t="s">
        <v>13</v>
      </c>
      <c r="B58" s="13" t="s">
        <v>250</v>
      </c>
      <c r="C58" s="18"/>
      <c r="D58" s="13" t="s">
        <v>184</v>
      </c>
      <c r="E58" s="13" t="s">
        <v>243</v>
      </c>
      <c r="F58" s="13" t="s">
        <v>242</v>
      </c>
      <c r="G58" s="13" t="s">
        <v>36</v>
      </c>
      <c r="H58" s="13" t="s">
        <v>245</v>
      </c>
      <c r="I58" s="13" t="s">
        <v>246</v>
      </c>
      <c r="J58" s="13" t="s">
        <v>164</v>
      </c>
      <c r="K58" s="15">
        <v>2500</v>
      </c>
      <c r="L58" s="13" t="s">
        <v>56</v>
      </c>
      <c r="M58" s="13">
        <v>50</v>
      </c>
      <c r="N58" s="16" t="s">
        <v>247</v>
      </c>
      <c r="O58" s="3"/>
      <c r="P58" s="3"/>
      <c r="Q58" s="3"/>
    </row>
    <row r="59" spans="1:17" x14ac:dyDescent="0.4">
      <c r="A59" s="16" t="s">
        <v>13</v>
      </c>
      <c r="B59" s="13" t="s">
        <v>20</v>
      </c>
      <c r="C59" s="18"/>
      <c r="D59" s="13" t="s">
        <v>23</v>
      </c>
      <c r="E59" s="13" t="s">
        <v>248</v>
      </c>
      <c r="F59" s="13" t="s">
        <v>244</v>
      </c>
      <c r="G59" s="13" t="s">
        <v>36</v>
      </c>
      <c r="H59" s="13"/>
      <c r="I59" s="13" t="s">
        <v>246</v>
      </c>
      <c r="J59" s="13" t="s">
        <v>164</v>
      </c>
      <c r="K59" s="15">
        <v>3850</v>
      </c>
      <c r="L59" s="13" t="s">
        <v>54</v>
      </c>
      <c r="M59" s="13">
        <v>50</v>
      </c>
      <c r="N59" s="16" t="s">
        <v>249</v>
      </c>
      <c r="O59" s="3"/>
      <c r="P59" s="3"/>
      <c r="Q59" s="3"/>
    </row>
    <row r="60" spans="1:17" x14ac:dyDescent="0.4">
      <c r="A60" s="13"/>
      <c r="B60" s="13"/>
      <c r="C60" s="18"/>
      <c r="D60" s="13" t="s">
        <v>184</v>
      </c>
      <c r="E60" s="13" t="s">
        <v>253</v>
      </c>
      <c r="F60" s="13" t="s">
        <v>252</v>
      </c>
      <c r="G60" s="13" t="s">
        <v>37</v>
      </c>
      <c r="H60" s="13"/>
      <c r="I60" s="13" t="s">
        <v>128</v>
      </c>
      <c r="J60" s="13" t="s">
        <v>14</v>
      </c>
      <c r="K60" s="15"/>
      <c r="L60" s="13"/>
      <c r="M60" s="13"/>
      <c r="N60" s="16"/>
      <c r="O60" s="3"/>
      <c r="P60" s="3"/>
      <c r="Q60" s="3"/>
    </row>
    <row r="61" spans="1:17" x14ac:dyDescent="0.4">
      <c r="A61" s="13" t="s">
        <v>13</v>
      </c>
      <c r="B61" s="13">
        <v>33</v>
      </c>
      <c r="C61" s="18"/>
      <c r="D61" s="13" t="s">
        <v>23</v>
      </c>
      <c r="E61" s="13" t="s">
        <v>223</v>
      </c>
      <c r="F61" s="13" t="s">
        <v>254</v>
      </c>
      <c r="G61" s="13" t="s">
        <v>38</v>
      </c>
      <c r="H61" s="13" t="s">
        <v>143</v>
      </c>
      <c r="I61" s="13" t="s">
        <v>180</v>
      </c>
      <c r="J61" s="13"/>
      <c r="K61" s="15">
        <v>1950</v>
      </c>
      <c r="L61" s="13" t="s">
        <v>54</v>
      </c>
      <c r="M61" s="13">
        <v>100</v>
      </c>
      <c r="N61" s="16" t="s">
        <v>255</v>
      </c>
      <c r="O61" s="3"/>
      <c r="P61" s="3"/>
      <c r="Q61" s="3"/>
    </row>
    <row r="62" spans="1:17" x14ac:dyDescent="0.4">
      <c r="A62" s="13" t="s">
        <v>33</v>
      </c>
      <c r="B62" s="13" t="s">
        <v>261</v>
      </c>
      <c r="C62" s="18"/>
      <c r="D62" s="13" t="s">
        <v>184</v>
      </c>
      <c r="E62" s="13" t="s">
        <v>260</v>
      </c>
      <c r="F62" s="13" t="s">
        <v>259</v>
      </c>
      <c r="G62" s="13" t="s">
        <v>39</v>
      </c>
      <c r="H62" s="13" t="s">
        <v>143</v>
      </c>
      <c r="I62" s="13" t="s">
        <v>18</v>
      </c>
      <c r="J62" s="13" t="s">
        <v>77</v>
      </c>
      <c r="K62" s="15">
        <v>2500</v>
      </c>
      <c r="L62" s="13"/>
      <c r="M62" s="13">
        <v>50</v>
      </c>
      <c r="N62" s="16"/>
      <c r="O62" s="3"/>
      <c r="P62" s="3"/>
      <c r="Q62" s="3"/>
    </row>
    <row r="63" spans="1:17" x14ac:dyDescent="0.4">
      <c r="A63" s="13" t="s">
        <v>13</v>
      </c>
      <c r="B63" s="13" t="s">
        <v>267</v>
      </c>
      <c r="C63" s="17"/>
      <c r="D63" s="13" t="s">
        <v>23</v>
      </c>
      <c r="E63" s="13" t="s">
        <v>266</v>
      </c>
      <c r="F63" s="13" t="s">
        <v>265</v>
      </c>
      <c r="G63" s="13" t="s">
        <v>36</v>
      </c>
      <c r="H63" s="13" t="s">
        <v>21</v>
      </c>
      <c r="I63" s="13" t="s">
        <v>18</v>
      </c>
      <c r="J63" s="13" t="s">
        <v>48</v>
      </c>
      <c r="K63" s="15">
        <v>1000</v>
      </c>
      <c r="L63" s="13" t="s">
        <v>56</v>
      </c>
      <c r="M63" s="13"/>
      <c r="N63" s="16"/>
      <c r="O63" s="3"/>
      <c r="P63" s="3"/>
      <c r="Q63" s="3"/>
    </row>
    <row r="64" spans="1:17" s="34" customFormat="1" x14ac:dyDescent="0.4">
      <c r="A64" s="30" t="s">
        <v>34</v>
      </c>
      <c r="B64" s="30"/>
      <c r="C64" s="30"/>
      <c r="D64" s="30" t="s">
        <v>16</v>
      </c>
      <c r="E64" s="30"/>
      <c r="F64" s="30" t="s">
        <v>268</v>
      </c>
      <c r="G64" s="30" t="s">
        <v>39</v>
      </c>
      <c r="H64" s="30"/>
      <c r="I64" s="30"/>
      <c r="J64" s="30"/>
      <c r="K64" s="31"/>
      <c r="L64" s="30"/>
      <c r="M64" s="30"/>
      <c r="N64" s="32"/>
      <c r="O64" s="33"/>
      <c r="P64" s="33"/>
      <c r="Q64" s="33"/>
    </row>
    <row r="65" spans="1:17" x14ac:dyDescent="0.4">
      <c r="A65" s="13" t="s">
        <v>34</v>
      </c>
      <c r="B65" s="13"/>
      <c r="C65" s="13"/>
      <c r="D65" s="13" t="s">
        <v>23</v>
      </c>
      <c r="E65" s="13"/>
      <c r="F65" s="13" t="s">
        <v>269</v>
      </c>
      <c r="G65" s="13" t="s">
        <v>39</v>
      </c>
      <c r="H65" s="13"/>
      <c r="I65" s="13"/>
      <c r="J65" s="13"/>
      <c r="K65" s="15"/>
      <c r="L65" s="13"/>
      <c r="M65" s="13"/>
      <c r="N65" s="16"/>
      <c r="O65" s="3"/>
      <c r="P65" s="3"/>
      <c r="Q65" s="3"/>
    </row>
    <row r="66" spans="1:17" x14ac:dyDescent="0.4">
      <c r="A66" s="13" t="s">
        <v>13</v>
      </c>
      <c r="B66" s="13" t="s">
        <v>271</v>
      </c>
      <c r="C66" s="13"/>
      <c r="D66" s="13" t="s">
        <v>23</v>
      </c>
      <c r="E66" s="13"/>
      <c r="F66" s="13" t="s">
        <v>270</v>
      </c>
      <c r="G66" s="13" t="s">
        <v>39</v>
      </c>
      <c r="H66" s="13" t="s">
        <v>272</v>
      </c>
      <c r="I66" s="13" t="s">
        <v>18</v>
      </c>
      <c r="J66" s="13" t="s">
        <v>53</v>
      </c>
      <c r="K66" s="15"/>
      <c r="L66" s="13"/>
      <c r="M66" s="13"/>
      <c r="N66" s="16"/>
      <c r="O66" s="3"/>
      <c r="P66" s="3"/>
      <c r="Q66" s="3"/>
    </row>
    <row r="67" spans="1:17" x14ac:dyDescent="0.4">
      <c r="A67" s="13" t="s">
        <v>13</v>
      </c>
      <c r="B67" s="13">
        <v>33</v>
      </c>
      <c r="C67" s="13"/>
      <c r="D67" s="13" t="s">
        <v>23</v>
      </c>
      <c r="E67" s="13" t="s">
        <v>273</v>
      </c>
      <c r="F67" s="13" t="s">
        <v>274</v>
      </c>
      <c r="G67" s="13" t="s">
        <v>39</v>
      </c>
      <c r="H67" s="13" t="s">
        <v>275</v>
      </c>
      <c r="I67" s="13" t="s">
        <v>22</v>
      </c>
      <c r="J67" s="13" t="s">
        <v>45</v>
      </c>
      <c r="K67" s="15">
        <v>6000</v>
      </c>
      <c r="L67" s="13" t="s">
        <v>56</v>
      </c>
      <c r="M67" s="13">
        <v>50</v>
      </c>
      <c r="N67" s="16"/>
      <c r="O67" s="3"/>
      <c r="P67" s="3"/>
      <c r="Q67" s="3"/>
    </row>
    <row r="68" spans="1:17" x14ac:dyDescent="0.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5"/>
      <c r="L68" s="24"/>
      <c r="M68" s="24"/>
      <c r="N68" s="16"/>
      <c r="O68" s="3"/>
      <c r="P68" s="3"/>
      <c r="Q68" s="3"/>
    </row>
    <row r="69" spans="1:17" x14ac:dyDescent="0.4">
      <c r="A69" s="16"/>
      <c r="B69" s="13"/>
      <c r="C69" s="13"/>
      <c r="D69" s="13"/>
      <c r="E69" s="13"/>
      <c r="F69" s="13"/>
      <c r="G69" s="13"/>
      <c r="H69" s="13"/>
      <c r="I69" s="13"/>
      <c r="J69" s="13"/>
      <c r="K69" s="15"/>
      <c r="L69" s="13"/>
      <c r="M69" s="13"/>
      <c r="N69" s="16"/>
      <c r="O69" s="3"/>
      <c r="P69" s="3"/>
      <c r="Q69" s="3"/>
    </row>
    <row r="70" spans="1:17" x14ac:dyDescent="0.4">
      <c r="A70" s="16"/>
      <c r="B70" s="13"/>
      <c r="C70" s="13"/>
      <c r="D70" s="13"/>
      <c r="E70" s="13"/>
      <c r="F70" s="13"/>
      <c r="G70" s="13"/>
      <c r="H70" s="13"/>
      <c r="I70" s="13"/>
      <c r="J70" s="13"/>
      <c r="K70" s="15"/>
      <c r="L70" s="13"/>
      <c r="M70" s="13"/>
      <c r="N70" s="16"/>
      <c r="O70" s="3"/>
      <c r="P70" s="3"/>
      <c r="Q70" s="3"/>
    </row>
    <row r="71" spans="1:17" x14ac:dyDescent="0.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5"/>
      <c r="L71" s="13"/>
      <c r="M71" s="13"/>
      <c r="N71" s="16"/>
      <c r="O71" s="3"/>
      <c r="P71" s="3"/>
      <c r="Q71" s="3"/>
    </row>
    <row r="72" spans="1:17" x14ac:dyDescent="0.4">
      <c r="A72" s="16"/>
      <c r="B72" s="13"/>
      <c r="C72" s="13"/>
      <c r="D72" s="13"/>
      <c r="E72" s="13"/>
      <c r="F72" s="13"/>
      <c r="G72" s="13"/>
      <c r="H72" s="13"/>
      <c r="I72" s="13"/>
      <c r="J72" s="13"/>
      <c r="K72" s="15"/>
      <c r="L72" s="13"/>
      <c r="M72" s="13"/>
      <c r="N72" s="16"/>
      <c r="O72" s="3"/>
      <c r="P72" s="3"/>
      <c r="Q72" s="3"/>
    </row>
    <row r="73" spans="1:17" x14ac:dyDescent="0.4">
      <c r="A73" s="16"/>
      <c r="B73" s="13"/>
      <c r="C73" s="13"/>
      <c r="D73" s="13"/>
      <c r="E73" s="13"/>
      <c r="F73" s="13"/>
      <c r="G73" s="13"/>
      <c r="H73" s="13"/>
      <c r="I73" s="13"/>
      <c r="J73" s="13"/>
      <c r="K73" s="15"/>
      <c r="L73" s="13"/>
      <c r="M73" s="13"/>
      <c r="N73" s="16"/>
      <c r="O73" s="3"/>
      <c r="P73" s="3"/>
      <c r="Q73" s="3"/>
    </row>
    <row r="74" spans="1:17" x14ac:dyDescent="0.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5"/>
      <c r="L74" s="13"/>
      <c r="M74" s="13"/>
      <c r="N74" s="16"/>
      <c r="O74" s="3"/>
      <c r="P74" s="3"/>
      <c r="Q74" s="3"/>
    </row>
    <row r="75" spans="1:17" x14ac:dyDescent="0.4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5"/>
      <c r="L75" s="13"/>
      <c r="M75" s="13"/>
      <c r="N75" s="16"/>
      <c r="O75" s="3"/>
      <c r="P75" s="3"/>
      <c r="Q75" s="3"/>
    </row>
    <row r="76" spans="1:17" x14ac:dyDescent="0.4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5"/>
      <c r="L76" s="13"/>
      <c r="M76" s="13"/>
      <c r="N76" s="16"/>
      <c r="O76" s="3"/>
      <c r="P76" s="3"/>
      <c r="Q76" s="3"/>
    </row>
    <row r="77" spans="1:17" x14ac:dyDescent="0.4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5"/>
      <c r="L77" s="13"/>
      <c r="M77" s="13"/>
      <c r="N77" s="16"/>
      <c r="O77" s="3"/>
      <c r="P77" s="3"/>
      <c r="Q77" s="3"/>
    </row>
    <row r="78" spans="1:17" x14ac:dyDescent="0.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5"/>
      <c r="L78" s="13"/>
      <c r="M78" s="13"/>
      <c r="N78" s="16"/>
      <c r="O78" s="3"/>
      <c r="P78" s="3"/>
      <c r="Q78" s="3"/>
    </row>
    <row r="79" spans="1:17" x14ac:dyDescent="0.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5"/>
      <c r="L79" s="13"/>
      <c r="M79" s="13"/>
      <c r="N79" s="16"/>
      <c r="O79" s="3"/>
      <c r="P79" s="3"/>
      <c r="Q79" s="3"/>
    </row>
    <row r="80" spans="1:17" x14ac:dyDescent="0.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5"/>
      <c r="L80" s="13"/>
      <c r="M80" s="13"/>
      <c r="N80" s="16"/>
      <c r="O80" s="3"/>
      <c r="P80" s="3"/>
      <c r="Q80" s="3"/>
    </row>
    <row r="81" spans="1:17" x14ac:dyDescent="0.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5"/>
      <c r="L81" s="13"/>
      <c r="M81" s="13"/>
      <c r="N81" s="16"/>
      <c r="O81" s="3"/>
      <c r="P81" s="3"/>
      <c r="Q81" s="3"/>
    </row>
    <row r="82" spans="1:17" x14ac:dyDescent="0.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5"/>
      <c r="L82" s="13"/>
      <c r="M82" s="13"/>
      <c r="N82" s="16"/>
      <c r="O82" s="3"/>
      <c r="P82" s="3"/>
      <c r="Q82" s="3"/>
    </row>
    <row r="83" spans="1:17" x14ac:dyDescent="0.4">
      <c r="A83" s="13"/>
      <c r="B83" s="13"/>
      <c r="C83" s="18"/>
      <c r="D83" s="13"/>
      <c r="E83" s="13"/>
      <c r="F83" s="13"/>
      <c r="G83" s="13"/>
      <c r="H83" s="13"/>
      <c r="I83" s="13"/>
      <c r="J83" s="13"/>
      <c r="K83" s="15"/>
      <c r="L83" s="13"/>
      <c r="M83" s="13"/>
      <c r="N83" s="16"/>
      <c r="O83" s="3"/>
      <c r="P83" s="3"/>
      <c r="Q83" s="3"/>
    </row>
    <row r="84" spans="1:17" x14ac:dyDescent="0.4">
      <c r="A84" s="13"/>
      <c r="B84" s="13"/>
      <c r="C84" s="21"/>
      <c r="D84" s="13"/>
      <c r="E84" s="13"/>
      <c r="F84" s="13"/>
      <c r="G84" s="13"/>
      <c r="H84" s="13"/>
      <c r="I84" s="13"/>
      <c r="J84" s="13"/>
      <c r="K84" s="15"/>
      <c r="L84" s="13"/>
      <c r="M84" s="13"/>
      <c r="N84" s="16"/>
      <c r="O84" s="3"/>
      <c r="P84" s="3"/>
      <c r="Q84" s="3"/>
    </row>
    <row r="85" spans="1:17" x14ac:dyDescent="0.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5"/>
      <c r="L85" s="13"/>
      <c r="M85" s="13"/>
      <c r="N85" s="16"/>
      <c r="O85" s="3"/>
      <c r="P85" s="3"/>
      <c r="Q85" s="3"/>
    </row>
    <row r="86" spans="1:17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4"/>
      <c r="L86" s="2"/>
      <c r="M86" s="2"/>
      <c r="N86" s="3"/>
      <c r="O86" s="3"/>
      <c r="P86" s="3"/>
      <c r="Q86" s="3"/>
    </row>
    <row r="87" spans="1:17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4"/>
      <c r="L87" s="2"/>
      <c r="M87" s="2"/>
      <c r="N87" s="3"/>
      <c r="O87" s="3"/>
      <c r="P87" s="3"/>
      <c r="Q87" s="3"/>
    </row>
    <row r="88" spans="1:17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4"/>
      <c r="L88" s="2"/>
      <c r="M88" s="2"/>
      <c r="N88" s="3"/>
      <c r="O88" s="3"/>
      <c r="P88" s="3"/>
      <c r="Q88" s="3"/>
    </row>
    <row r="89" spans="1:17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4"/>
      <c r="L89" s="2"/>
      <c r="M89" s="2"/>
      <c r="N89" s="3"/>
      <c r="O89" s="3"/>
      <c r="P89" s="3"/>
      <c r="Q89" s="3"/>
    </row>
    <row r="90" spans="1:17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4"/>
      <c r="L90" s="2"/>
      <c r="M90" s="2"/>
      <c r="N90" s="3"/>
      <c r="O90" s="3"/>
      <c r="P90" s="3"/>
      <c r="Q90" s="3"/>
    </row>
    <row r="91" spans="1:17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4"/>
      <c r="L91" s="2"/>
      <c r="M91" s="2"/>
      <c r="N91" s="3"/>
      <c r="O91" s="3"/>
      <c r="P91" s="3"/>
      <c r="Q91" s="3"/>
    </row>
    <row r="92" spans="1:17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4"/>
      <c r="L92" s="2"/>
      <c r="M92" s="2"/>
      <c r="N92" s="3"/>
      <c r="O92" s="3"/>
      <c r="P92" s="3"/>
      <c r="Q92" s="3"/>
    </row>
    <row r="93" spans="1:17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4"/>
      <c r="L93" s="2"/>
      <c r="M93" s="2"/>
      <c r="N93" s="3"/>
      <c r="O93" s="3"/>
      <c r="P93" s="3"/>
      <c r="Q93" s="3"/>
    </row>
    <row r="94" spans="1:17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4"/>
      <c r="L94" s="2"/>
      <c r="M94" s="2"/>
      <c r="N94" s="3"/>
      <c r="O94" s="3"/>
      <c r="P94" s="3"/>
      <c r="Q94" s="3"/>
    </row>
    <row r="95" spans="1:17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4"/>
      <c r="L95" s="2"/>
      <c r="M95" s="2"/>
      <c r="N95" s="3"/>
      <c r="O95" s="3"/>
      <c r="P95" s="3"/>
      <c r="Q95" s="3"/>
    </row>
    <row r="96" spans="1:17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4"/>
      <c r="L96" s="2"/>
      <c r="M96" s="2"/>
      <c r="N96" s="3"/>
      <c r="O96" s="3"/>
      <c r="P96" s="3"/>
      <c r="Q96" s="3"/>
    </row>
    <row r="97" spans="1:17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4"/>
      <c r="L97" s="2"/>
      <c r="M97" s="2"/>
      <c r="N97" s="3"/>
      <c r="O97" s="3"/>
      <c r="P97" s="3"/>
      <c r="Q97" s="3"/>
    </row>
    <row r="98" spans="1:17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4"/>
      <c r="L98" s="2"/>
      <c r="M98" s="2"/>
      <c r="N98" s="3"/>
      <c r="O98" s="3"/>
      <c r="P98" s="3"/>
      <c r="Q98" s="3"/>
    </row>
    <row r="99" spans="1:17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4"/>
      <c r="L99" s="2"/>
      <c r="M99" s="2"/>
      <c r="N99" s="3"/>
      <c r="O99" s="3"/>
      <c r="P99" s="3"/>
      <c r="Q99" s="3"/>
    </row>
    <row r="100" spans="1:17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2"/>
      <c r="M100" s="2"/>
      <c r="N100" s="3"/>
      <c r="O100" s="3"/>
      <c r="P100" s="3"/>
      <c r="Q100" s="3"/>
    </row>
    <row r="101" spans="1:17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2"/>
      <c r="M101" s="2"/>
      <c r="N101" s="3"/>
      <c r="O101" s="3"/>
      <c r="P101" s="3"/>
      <c r="Q101" s="3"/>
    </row>
    <row r="102" spans="1:17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2"/>
      <c r="M102" s="2"/>
      <c r="N102" s="3"/>
      <c r="O102" s="3"/>
      <c r="P102" s="3"/>
      <c r="Q102" s="3"/>
    </row>
    <row r="103" spans="1:17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2"/>
      <c r="M103" s="2"/>
      <c r="N103" s="3"/>
      <c r="O103" s="3"/>
      <c r="P103" s="3"/>
      <c r="Q103" s="3"/>
    </row>
    <row r="104" spans="1:17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2"/>
      <c r="M104" s="2"/>
      <c r="N104" s="3"/>
      <c r="O104" s="3"/>
      <c r="P104" s="3"/>
      <c r="Q104" s="3"/>
    </row>
    <row r="105" spans="1:17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2"/>
      <c r="M105" s="2"/>
      <c r="N105" s="3"/>
      <c r="O105" s="3"/>
      <c r="P105" s="3"/>
      <c r="Q105" s="3"/>
    </row>
    <row r="106" spans="1:17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2"/>
      <c r="M106" s="2"/>
      <c r="N106" s="3"/>
      <c r="O106" s="3"/>
      <c r="P106" s="3"/>
      <c r="Q106" s="3"/>
    </row>
    <row r="107" spans="1:17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2"/>
      <c r="M107" s="2"/>
      <c r="N107" s="3"/>
      <c r="O107" s="3"/>
      <c r="P107" s="3"/>
      <c r="Q107" s="3"/>
    </row>
    <row r="108" spans="1:17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2"/>
      <c r="M108" s="2"/>
      <c r="N108" s="3"/>
      <c r="O108" s="3"/>
      <c r="P108" s="3"/>
      <c r="Q108" s="3"/>
    </row>
    <row r="109" spans="1:17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2"/>
      <c r="M109" s="2"/>
      <c r="N109" s="3"/>
      <c r="O109" s="3"/>
      <c r="P109" s="3"/>
      <c r="Q109" s="3"/>
    </row>
    <row r="110" spans="1:17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2"/>
      <c r="M110" s="2"/>
      <c r="N110" s="3"/>
      <c r="O110" s="3"/>
      <c r="P110" s="3"/>
      <c r="Q110" s="3"/>
    </row>
    <row r="111" spans="1:17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2"/>
      <c r="M111" s="2"/>
      <c r="N111" s="3"/>
      <c r="O111" s="3"/>
      <c r="P111" s="3"/>
      <c r="Q111" s="3"/>
    </row>
    <row r="112" spans="1:17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2"/>
      <c r="M112" s="2"/>
      <c r="N112" s="3"/>
      <c r="O112" s="3"/>
      <c r="P112" s="3"/>
      <c r="Q112" s="3"/>
    </row>
    <row r="113" spans="1:17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2"/>
      <c r="M113" s="2"/>
      <c r="N113" s="3"/>
      <c r="O113" s="3"/>
      <c r="P113" s="3"/>
      <c r="Q113" s="3"/>
    </row>
    <row r="114" spans="1:17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2"/>
      <c r="M114" s="2"/>
      <c r="N114" s="3"/>
      <c r="O114" s="3"/>
      <c r="P114" s="3"/>
      <c r="Q114" s="3"/>
    </row>
    <row r="115" spans="1:17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2"/>
      <c r="M115" s="2"/>
      <c r="N115" s="3"/>
      <c r="O115" s="3"/>
      <c r="P115" s="3"/>
      <c r="Q115" s="3"/>
    </row>
    <row r="116" spans="1:17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2"/>
      <c r="M116" s="2"/>
      <c r="N116" s="3"/>
      <c r="O116" s="3"/>
      <c r="P116" s="3"/>
      <c r="Q116" s="3"/>
    </row>
    <row r="117" spans="1:17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2"/>
      <c r="M117" s="2"/>
      <c r="N117" s="3"/>
      <c r="O117" s="3"/>
      <c r="P117" s="3"/>
      <c r="Q117" s="3"/>
    </row>
    <row r="118" spans="1:17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2"/>
      <c r="M118" s="2"/>
      <c r="N118" s="3"/>
      <c r="O118" s="3"/>
      <c r="P118" s="3"/>
      <c r="Q118" s="3"/>
    </row>
    <row r="119" spans="1:17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2"/>
      <c r="M119" s="2"/>
      <c r="N119" s="3"/>
      <c r="O119" s="3"/>
      <c r="P119" s="3"/>
      <c r="Q119" s="3"/>
    </row>
    <row r="120" spans="1:17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2"/>
      <c r="M120" s="2"/>
      <c r="N120" s="3"/>
      <c r="O120" s="3"/>
      <c r="P120" s="3"/>
      <c r="Q120" s="3"/>
    </row>
    <row r="121" spans="1:17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2"/>
      <c r="M121" s="2"/>
      <c r="N121" s="3"/>
      <c r="O121" s="3"/>
      <c r="P121" s="3"/>
      <c r="Q121" s="3"/>
    </row>
    <row r="122" spans="1:17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2"/>
      <c r="M122" s="2"/>
      <c r="N122" s="3"/>
      <c r="O122" s="3"/>
      <c r="P122" s="3"/>
      <c r="Q122" s="3"/>
    </row>
    <row r="123" spans="1:17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2"/>
      <c r="M123" s="2"/>
      <c r="N123" s="3"/>
      <c r="O123" s="3"/>
      <c r="P123" s="3"/>
      <c r="Q123" s="3"/>
    </row>
    <row r="124" spans="1:17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2"/>
      <c r="M124" s="2"/>
      <c r="N124" s="3"/>
      <c r="O124" s="3"/>
      <c r="P124" s="3"/>
      <c r="Q124" s="3"/>
    </row>
    <row r="125" spans="1:17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2"/>
      <c r="M125" s="2"/>
      <c r="N125" s="3"/>
      <c r="O125" s="3"/>
      <c r="P125" s="3"/>
      <c r="Q125" s="3"/>
    </row>
    <row r="126" spans="1:17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2"/>
      <c r="M126" s="2"/>
      <c r="N126" s="3"/>
      <c r="O126" s="3"/>
      <c r="P126" s="3"/>
      <c r="Q126" s="3"/>
    </row>
    <row r="127" spans="1:17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2"/>
      <c r="M127" s="2"/>
      <c r="N127" s="3"/>
      <c r="O127" s="3"/>
      <c r="P127" s="3"/>
      <c r="Q127" s="3"/>
    </row>
    <row r="128" spans="1:17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2"/>
      <c r="M128" s="2"/>
      <c r="N128" s="3"/>
      <c r="O128" s="3"/>
      <c r="P128" s="3"/>
      <c r="Q128" s="3"/>
    </row>
    <row r="129" spans="1:17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2"/>
      <c r="M129" s="2"/>
      <c r="N129" s="3"/>
      <c r="O129" s="3"/>
      <c r="P129" s="3"/>
      <c r="Q129" s="3"/>
    </row>
    <row r="130" spans="1:17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2"/>
      <c r="M130" s="2"/>
      <c r="N130" s="3"/>
      <c r="O130" s="3"/>
      <c r="P130" s="3"/>
      <c r="Q130" s="3"/>
    </row>
    <row r="131" spans="1:17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2"/>
      <c r="M131" s="2"/>
      <c r="N131" s="3"/>
      <c r="O131" s="3"/>
      <c r="P131" s="3"/>
      <c r="Q131" s="3"/>
    </row>
    <row r="132" spans="1:17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2"/>
      <c r="M132" s="2"/>
      <c r="N132" s="3"/>
      <c r="O132" s="3"/>
      <c r="P132" s="3"/>
      <c r="Q132" s="3"/>
    </row>
    <row r="133" spans="1:17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2"/>
      <c r="M133" s="2"/>
      <c r="N133" s="3"/>
      <c r="O133" s="3"/>
      <c r="P133" s="3"/>
      <c r="Q133" s="3"/>
    </row>
    <row r="134" spans="1:17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2"/>
      <c r="M134" s="2"/>
      <c r="N134" s="3"/>
      <c r="O134" s="3"/>
      <c r="P134" s="3"/>
      <c r="Q134" s="3"/>
    </row>
    <row r="135" spans="1:17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2"/>
      <c r="M135" s="2"/>
      <c r="N135" s="3"/>
      <c r="O135" s="3"/>
      <c r="P135" s="3"/>
      <c r="Q135" s="3"/>
    </row>
    <row r="136" spans="1:17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2"/>
      <c r="M136" s="2"/>
      <c r="N136" s="3"/>
      <c r="O136" s="3"/>
      <c r="P136" s="3"/>
      <c r="Q136" s="3"/>
    </row>
    <row r="137" spans="1:17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2"/>
      <c r="M137" s="2"/>
      <c r="N137" s="3"/>
      <c r="O137" s="3"/>
      <c r="P137" s="3"/>
      <c r="Q137" s="3"/>
    </row>
    <row r="138" spans="1:17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2"/>
      <c r="M138" s="2"/>
      <c r="N138" s="3"/>
      <c r="O138" s="3"/>
      <c r="P138" s="3"/>
      <c r="Q138" s="3"/>
    </row>
    <row r="139" spans="1:17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2"/>
      <c r="M139" s="2"/>
      <c r="N139" s="3"/>
      <c r="O139" s="3"/>
      <c r="P139" s="3"/>
      <c r="Q139" s="3"/>
    </row>
    <row r="140" spans="1:17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2"/>
      <c r="M140" s="2"/>
      <c r="N140" s="3"/>
      <c r="O140" s="3"/>
      <c r="P140" s="3"/>
      <c r="Q140" s="3"/>
    </row>
    <row r="141" spans="1:17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2"/>
      <c r="M141" s="2"/>
      <c r="N141" s="3"/>
      <c r="O141" s="3"/>
      <c r="P141" s="3"/>
      <c r="Q141" s="3"/>
    </row>
    <row r="142" spans="1:17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2"/>
      <c r="M142" s="2"/>
      <c r="N142" s="3"/>
      <c r="O142" s="3"/>
      <c r="P142" s="3"/>
      <c r="Q142" s="3"/>
    </row>
    <row r="143" spans="1:17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2"/>
      <c r="M143" s="2"/>
      <c r="N143" s="3"/>
      <c r="O143" s="3"/>
      <c r="P143" s="3"/>
      <c r="Q143" s="3"/>
    </row>
    <row r="144" spans="1:17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2"/>
      <c r="M144" s="2"/>
      <c r="N144" s="3"/>
      <c r="O144" s="3"/>
      <c r="P144" s="3"/>
      <c r="Q144" s="3"/>
    </row>
    <row r="145" spans="1:17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2"/>
      <c r="M145" s="2"/>
      <c r="N145" s="3"/>
      <c r="O145" s="3"/>
      <c r="P145" s="3"/>
      <c r="Q145" s="3"/>
    </row>
    <row r="146" spans="1:17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2"/>
      <c r="M146" s="2"/>
      <c r="N146" s="3"/>
      <c r="O146" s="3"/>
      <c r="P146" s="3"/>
      <c r="Q146" s="3"/>
    </row>
    <row r="147" spans="1:17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2"/>
      <c r="M147" s="2"/>
      <c r="N147" s="3"/>
      <c r="O147" s="3"/>
      <c r="P147" s="3"/>
      <c r="Q147" s="3"/>
    </row>
    <row r="148" spans="1:17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2"/>
      <c r="M148" s="2"/>
      <c r="N148" s="3"/>
      <c r="O148" s="3"/>
      <c r="P148" s="3"/>
      <c r="Q148" s="3"/>
    </row>
    <row r="149" spans="1:17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2"/>
      <c r="M149" s="2"/>
      <c r="N149" s="3"/>
      <c r="O149" s="3"/>
      <c r="P149" s="3"/>
      <c r="Q149" s="3"/>
    </row>
    <row r="150" spans="1:17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2"/>
      <c r="M150" s="2"/>
      <c r="N150" s="3"/>
      <c r="O150" s="3"/>
      <c r="P150" s="3"/>
      <c r="Q150" s="3"/>
    </row>
    <row r="151" spans="1:17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2"/>
      <c r="M151" s="2"/>
      <c r="N151" s="3"/>
      <c r="O151" s="3"/>
      <c r="P151" s="3"/>
      <c r="Q151" s="3"/>
    </row>
    <row r="152" spans="1:17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2"/>
      <c r="M152" s="2"/>
      <c r="N152" s="3"/>
      <c r="O152" s="3"/>
      <c r="P152" s="3"/>
      <c r="Q152" s="3"/>
    </row>
    <row r="153" spans="1:17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2"/>
      <c r="M153" s="2"/>
      <c r="N153" s="3"/>
      <c r="O153" s="3"/>
      <c r="P153" s="3"/>
      <c r="Q153" s="3"/>
    </row>
    <row r="154" spans="1:17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2"/>
      <c r="M154" s="2"/>
      <c r="N154" s="3"/>
      <c r="O154" s="3"/>
      <c r="P154" s="3"/>
      <c r="Q154" s="3"/>
    </row>
    <row r="155" spans="1:17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2"/>
      <c r="M155" s="2"/>
      <c r="N155" s="3"/>
      <c r="O155" s="3"/>
      <c r="P155" s="3"/>
      <c r="Q155" s="3"/>
    </row>
    <row r="156" spans="1:17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2"/>
      <c r="M156" s="2"/>
      <c r="N156" s="3"/>
      <c r="O156" s="3"/>
      <c r="P156" s="3"/>
      <c r="Q156" s="3"/>
    </row>
    <row r="157" spans="1:17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2"/>
      <c r="M157" s="2"/>
      <c r="N157" s="3"/>
      <c r="O157" s="3"/>
      <c r="P157" s="3"/>
      <c r="Q157" s="3"/>
    </row>
    <row r="158" spans="1:17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2"/>
      <c r="M158" s="2"/>
      <c r="N158" s="3"/>
      <c r="O158" s="3"/>
      <c r="P158" s="3"/>
      <c r="Q158" s="3"/>
    </row>
    <row r="159" spans="1:17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2"/>
      <c r="M159" s="2"/>
      <c r="N159" s="3"/>
      <c r="O159" s="3"/>
      <c r="P159" s="3"/>
      <c r="Q159" s="3"/>
    </row>
    <row r="160" spans="1:17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2"/>
      <c r="M160" s="2"/>
      <c r="N160" s="3"/>
      <c r="O160" s="3"/>
      <c r="P160" s="3"/>
      <c r="Q160" s="3"/>
    </row>
    <row r="161" spans="1:17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2"/>
      <c r="M161" s="2"/>
      <c r="N161" s="3"/>
      <c r="O161" s="3"/>
      <c r="P161" s="3"/>
      <c r="Q161" s="3"/>
    </row>
    <row r="162" spans="1:17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2"/>
      <c r="M162" s="2"/>
      <c r="N162" s="3"/>
      <c r="O162" s="3"/>
      <c r="P162" s="3"/>
      <c r="Q162" s="3"/>
    </row>
    <row r="163" spans="1:17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2"/>
      <c r="M163" s="2"/>
      <c r="N163" s="3"/>
      <c r="O163" s="3"/>
      <c r="P163" s="3"/>
      <c r="Q163" s="3"/>
    </row>
    <row r="164" spans="1:17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2"/>
      <c r="M164" s="2"/>
      <c r="N164" s="3"/>
      <c r="O164" s="3"/>
      <c r="P164" s="3"/>
      <c r="Q164" s="3"/>
    </row>
    <row r="165" spans="1:17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2"/>
      <c r="M165" s="2"/>
      <c r="N165" s="3"/>
      <c r="O165" s="3"/>
      <c r="P165" s="3"/>
      <c r="Q165" s="3"/>
    </row>
    <row r="166" spans="1:17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2"/>
      <c r="M166" s="2"/>
      <c r="N166" s="3"/>
      <c r="O166" s="3"/>
      <c r="P166" s="3"/>
      <c r="Q166" s="3"/>
    </row>
  </sheetData>
  <autoFilter ref="A6:N67" xr:uid="{6B68D0D4-B4C4-463D-AC34-C58EC6BEBEE3}"/>
  <customSheetViews>
    <customSheetView guid="{0E5D33F0-BC23-4399-92CD-EF31042EBC92}" scale="70" fitToPage="1" showAutoFilter="1" topLeftCell="A4">
      <selection activeCell="M10" sqref="M10"/>
      <pageMargins left="0.25" right="0.25" top="0.75" bottom="0.75" header="0.3" footer="0.3"/>
      <pageSetup paperSize="9" scale="43" orientation="portrait" horizontalDpi="0" verticalDpi="0" r:id="rId1"/>
      <autoFilter ref="D1:D153" xr:uid="{0F7F5EA7-142A-40EE-8BA6-CD4148F6869B}"/>
    </customSheetView>
    <customSheetView guid="{36A2511D-61A6-43A6-8702-C203B803AC12}" scale="70" fitToPage="1" showAutoFilter="1">
      <selection activeCell="B4" sqref="B4"/>
      <pageMargins left="0.25" right="0.25" top="0.75" bottom="0.75" header="0.3" footer="0.3"/>
      <pageSetup paperSize="9" scale="43" orientation="portrait" horizontalDpi="0" verticalDpi="0" r:id="rId2"/>
      <autoFilter ref="D1:D160" xr:uid="{5DED9885-CE78-4A98-9128-92D0FAB4FE60}"/>
    </customSheetView>
  </customSheetViews>
  <mergeCells count="15">
    <mergeCell ref="M5:N5"/>
    <mergeCell ref="E15:E16"/>
    <mergeCell ref="E53:E54"/>
    <mergeCell ref="E23:E25"/>
    <mergeCell ref="B23:B25"/>
    <mergeCell ref="E5:L5"/>
    <mergeCell ref="A5:C5"/>
    <mergeCell ref="L9:L11"/>
    <mergeCell ref="N9:N11"/>
    <mergeCell ref="C9:C11"/>
    <mergeCell ref="A9:A11"/>
    <mergeCell ref="E9:E11"/>
    <mergeCell ref="E48:E49"/>
    <mergeCell ref="B48:B49"/>
    <mergeCell ref="B9:B11"/>
  </mergeCells>
  <phoneticPr fontId="1"/>
  <conditionalFormatting sqref="D7:D1048576">
    <cfRule type="expression" dxfId="5" priority="1">
      <formula>$D7="試遊"</formula>
    </cfRule>
    <cfRule type="expression" dxfId="4" priority="2">
      <formula>$D7="調べる"</formula>
    </cfRule>
    <cfRule type="expression" dxfId="3" priority="3">
      <formula>$D7="保留"</formula>
    </cfRule>
    <cfRule type="expression" dxfId="2" priority="5">
      <formula>$D7="購入予定"</formula>
    </cfRule>
    <cfRule type="expression" dxfId="1" priority="6">
      <formula>$D7="予約済み"</formula>
    </cfRule>
    <cfRule type="expression" dxfId="0" priority="7">
      <formula>$D7="検討中"</formula>
    </cfRule>
  </conditionalFormatting>
  <conditionalFormatting sqref="M7:M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{C43CA738-6AD3-480B-96B0-3181F7C95AE3}</x14:id>
        </ext>
      </extLst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{26E294BD-4ABA-4499-B1A0-F4E8F4E684CA}</x14:id>
        </ext>
      </extLst>
    </cfRule>
  </conditionalFormatting>
  <pageMargins left="0.25" right="0.25" top="0.75" bottom="0.75" header="0.3" footer="0.3"/>
  <pageSetup paperSize="9" scale="41" orientation="portrait" horizontalDpi="0" verticalDpi="0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3CA738-6AD3-480B-96B0-3181F7C95AE3}">
            <x14:dataBar minLength="0" maxLength="100" border="1" gradient="0">
              <x14:cfvo type="autoMin"/>
              <x14:cfvo type="autoMax"/>
              <x14:borderColor theme="0"/>
              <x14:negativeFillColor rgb="FFFF0000"/>
              <x14:axisColor rgb="FF000000"/>
            </x14:dataBar>
          </x14:cfRule>
          <x14:cfRule type="dataBar" id="{26E294BD-4ABA-4499-B1A0-F4E8F4E684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M7:M1048576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7E96C42-283A-45AF-8FF2-BA013FB475DF}">
          <x14:formula1>
            <xm:f>Sheet2!$A$3:$A$5</xm:f>
          </x14:formula1>
          <xm:sqref>A7:A9 A12:A1048576</xm:sqref>
        </x14:dataValidation>
        <x14:dataValidation type="list" allowBlank="1" showInputMessage="1" showErrorMessage="1" xr:uid="{5CAA484D-08EA-4EB4-954C-D91AA5B51EE1}">
          <x14:formula1>
            <xm:f>Sheet2!$C$3:$C$7</xm:f>
          </x14:formula1>
          <xm:sqref>G7:G1048576</xm:sqref>
        </x14:dataValidation>
        <x14:dataValidation type="list" allowBlank="1" showInputMessage="1" showErrorMessage="1" xr:uid="{316ADA11-7165-42FD-9454-8ADA529F26EF}">
          <x14:formula1>
            <xm:f>Sheet2!$F$3:$F$6</xm:f>
          </x14:formula1>
          <xm:sqref>L7:L9 L12:L1048576</xm:sqref>
        </x14:dataValidation>
        <x14:dataValidation type="list" allowBlank="1" showInputMessage="1" showErrorMessage="1" xr:uid="{E5771375-C621-4E34-94F8-78A07D5ADE7A}">
          <x14:formula1>
            <xm:f>Sheet2!$D$3:$D$7</xm:f>
          </x14:formula1>
          <xm:sqref>I7:I1048576</xm:sqref>
        </x14:dataValidation>
        <x14:dataValidation type="list" allowBlank="1" showInputMessage="1" showErrorMessage="1" xr:uid="{0948DA2A-EB38-4566-B003-75FA69611437}">
          <x14:formula1>
            <xm:f>Sheet2!$E$3:$E$22</xm:f>
          </x14:formula1>
          <xm:sqref>J7:J1048576</xm:sqref>
        </x14:dataValidation>
        <x14:dataValidation type="list" allowBlank="1" showInputMessage="1" showErrorMessage="1" xr:uid="{1B89C0F3-847B-438A-8078-F14F09835C60}">
          <x14:formula1>
            <xm:f>Sheet2!$B$3:$B$8</xm:f>
          </x14:formula1>
          <xm:sqref>D7:D1048576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1EA3-49FA-4F2B-AA45-E5B00061B60E}">
  <sheetPr codeName="Sheet2">
    <pageSetUpPr fitToPage="1"/>
  </sheetPr>
  <dimension ref="A1:Q160"/>
  <sheetViews>
    <sheetView zoomScaleNormal="100" workbookViewId="0">
      <selection activeCell="G15" sqref="G15"/>
    </sheetView>
  </sheetViews>
  <sheetFormatPr defaultRowHeight="18.75" outlineLevelCol="1" x14ac:dyDescent="0.4"/>
  <cols>
    <col min="1" max="1" width="11.5" style="1" bestFit="1" customWidth="1"/>
    <col min="2" max="2" width="9" style="1"/>
    <col min="3" max="3" width="15.625" style="1" bestFit="1" customWidth="1" outlineLevel="1"/>
    <col min="4" max="4" width="8.625" style="1" customWidth="1" outlineLevel="1"/>
    <col min="5" max="5" width="27.75" style="1" customWidth="1"/>
    <col min="6" max="6" width="37.5" style="1" customWidth="1"/>
    <col min="7" max="7" width="9" style="1"/>
    <col min="8" max="8" width="11.25" style="1" bestFit="1" customWidth="1"/>
    <col min="9" max="9" width="9.125" style="1" customWidth="1"/>
    <col min="10" max="10" width="16.875" style="1" bestFit="1" customWidth="1"/>
    <col min="11" max="11" width="9" style="5"/>
    <col min="12" max="12" width="11.125" style="1" bestFit="1" customWidth="1"/>
    <col min="13" max="13" width="35.75" bestFit="1" customWidth="1"/>
    <col min="14" max="14" width="20.125" style="7" bestFit="1" customWidth="1"/>
    <col min="17" max="17" width="9" customWidth="1"/>
  </cols>
  <sheetData>
    <row r="1" spans="1:17" x14ac:dyDescent="0.4">
      <c r="A1" s="41" t="s">
        <v>0</v>
      </c>
      <c r="B1" s="41"/>
      <c r="C1" s="41"/>
      <c r="D1" s="12"/>
      <c r="E1" s="35" t="s">
        <v>1</v>
      </c>
      <c r="F1" s="40"/>
      <c r="G1" s="40"/>
      <c r="H1" s="40"/>
      <c r="I1" s="40"/>
      <c r="J1" s="40"/>
      <c r="K1" s="40"/>
      <c r="L1" s="36"/>
      <c r="M1" s="11"/>
      <c r="N1" s="10" t="s">
        <v>2</v>
      </c>
      <c r="O1" s="3"/>
      <c r="P1" s="3"/>
      <c r="Q1" s="3"/>
    </row>
    <row r="2" spans="1:17" x14ac:dyDescent="0.4">
      <c r="A2" s="27" t="s">
        <v>3</v>
      </c>
      <c r="B2" s="27" t="s">
        <v>4</v>
      </c>
      <c r="C2" s="27" t="s">
        <v>5</v>
      </c>
      <c r="D2" s="27" t="s">
        <v>6</v>
      </c>
      <c r="E2" s="27" t="s">
        <v>7</v>
      </c>
      <c r="F2" s="27" t="s">
        <v>8</v>
      </c>
      <c r="G2" s="27" t="s">
        <v>9</v>
      </c>
      <c r="H2" s="27" t="s">
        <v>5</v>
      </c>
      <c r="I2" s="27" t="s">
        <v>40</v>
      </c>
      <c r="J2" s="27" t="s">
        <v>41</v>
      </c>
      <c r="K2" s="28" t="s">
        <v>10</v>
      </c>
      <c r="L2" s="27" t="s">
        <v>11</v>
      </c>
      <c r="M2" s="27" t="s">
        <v>12</v>
      </c>
      <c r="N2" s="16"/>
      <c r="O2" s="3"/>
      <c r="P2" s="3"/>
      <c r="Q2" s="3"/>
    </row>
    <row r="3" spans="1:17" x14ac:dyDescent="0.4">
      <c r="A3" s="16"/>
      <c r="B3" s="16"/>
      <c r="C3" s="16"/>
      <c r="D3" s="16"/>
      <c r="E3" s="16"/>
      <c r="F3" s="16" t="s">
        <v>169</v>
      </c>
      <c r="G3" s="13"/>
      <c r="H3" s="16"/>
      <c r="I3" s="16"/>
      <c r="J3" s="16"/>
      <c r="K3" s="16"/>
      <c r="L3" s="16"/>
      <c r="M3" s="16"/>
      <c r="N3" s="16"/>
      <c r="O3" s="3"/>
      <c r="P3" s="3"/>
      <c r="Q3" s="3"/>
    </row>
    <row r="4" spans="1:17" x14ac:dyDescent="0.4">
      <c r="A4" s="16"/>
      <c r="B4" s="16"/>
      <c r="C4" s="16"/>
      <c r="D4" s="16"/>
      <c r="E4" s="16"/>
      <c r="F4" s="16" t="s">
        <v>170</v>
      </c>
      <c r="G4" s="13"/>
      <c r="H4" s="16"/>
      <c r="I4" s="16"/>
      <c r="J4" s="16"/>
      <c r="K4" s="16"/>
      <c r="L4" s="16"/>
      <c r="M4" s="16"/>
      <c r="N4" s="16"/>
      <c r="O4" s="3"/>
      <c r="P4" s="3"/>
      <c r="Q4" s="3"/>
    </row>
    <row r="5" spans="1:17" x14ac:dyDescent="0.4">
      <c r="A5" s="16"/>
      <c r="B5" s="16"/>
      <c r="C5" s="16"/>
      <c r="D5" s="16"/>
      <c r="E5" s="16"/>
      <c r="F5" s="16" t="s">
        <v>171</v>
      </c>
      <c r="G5" s="13"/>
      <c r="H5" s="16"/>
      <c r="I5" s="16"/>
      <c r="J5" s="16"/>
      <c r="K5" s="16"/>
      <c r="L5" s="16"/>
      <c r="M5" s="16" t="s">
        <v>204</v>
      </c>
      <c r="N5" s="16"/>
      <c r="O5" s="3"/>
      <c r="P5" s="3"/>
      <c r="Q5" s="3"/>
    </row>
    <row r="6" spans="1:17" x14ac:dyDescent="0.4">
      <c r="A6" s="16"/>
      <c r="B6" s="16"/>
      <c r="C6" s="16"/>
      <c r="D6" s="16"/>
      <c r="E6" s="16"/>
      <c r="F6" s="16" t="s">
        <v>172</v>
      </c>
      <c r="G6" s="13"/>
      <c r="H6" s="16"/>
      <c r="I6" s="16"/>
      <c r="J6" s="16"/>
      <c r="K6" s="16"/>
      <c r="L6" s="16"/>
      <c r="M6" s="16" t="s">
        <v>204</v>
      </c>
      <c r="N6" s="16"/>
      <c r="O6" s="3"/>
      <c r="P6" s="3"/>
      <c r="Q6" s="3"/>
    </row>
    <row r="7" spans="1:17" x14ac:dyDescent="0.4">
      <c r="A7" s="16"/>
      <c r="B7" s="16"/>
      <c r="C7" s="16"/>
      <c r="D7" s="16"/>
      <c r="E7" s="16" t="s">
        <v>203</v>
      </c>
      <c r="F7" s="16" t="s">
        <v>173</v>
      </c>
      <c r="G7" s="13"/>
      <c r="H7" s="16"/>
      <c r="I7" s="16"/>
      <c r="J7" s="16"/>
      <c r="K7" s="16"/>
      <c r="L7" s="16"/>
      <c r="M7" s="16"/>
      <c r="N7" s="16"/>
      <c r="O7" s="3"/>
      <c r="P7" s="3"/>
      <c r="Q7" s="3"/>
    </row>
    <row r="8" spans="1:17" x14ac:dyDescent="0.4">
      <c r="A8" s="16"/>
      <c r="B8" s="16"/>
      <c r="C8" s="16"/>
      <c r="D8" s="16"/>
      <c r="E8" s="16"/>
      <c r="F8" s="16" t="s">
        <v>174</v>
      </c>
      <c r="G8" s="13"/>
      <c r="H8" s="16"/>
      <c r="I8" s="16"/>
      <c r="J8" s="16"/>
      <c r="K8" s="16"/>
      <c r="L8" s="16"/>
      <c r="M8" s="16"/>
      <c r="N8" s="16"/>
      <c r="O8" s="3"/>
      <c r="P8" s="3"/>
      <c r="Q8" s="3"/>
    </row>
    <row r="9" spans="1:17" x14ac:dyDescent="0.4">
      <c r="A9" s="16"/>
      <c r="B9" s="16"/>
      <c r="C9" s="16"/>
      <c r="D9" s="16"/>
      <c r="E9" s="16" t="s">
        <v>203</v>
      </c>
      <c r="F9" s="16" t="s">
        <v>176</v>
      </c>
      <c r="G9" s="13"/>
      <c r="H9" s="16"/>
      <c r="I9" s="16"/>
      <c r="J9" s="16"/>
      <c r="K9" s="16"/>
      <c r="L9" s="16"/>
      <c r="M9" s="16"/>
      <c r="N9" s="16"/>
      <c r="O9" s="3"/>
      <c r="P9" s="3"/>
      <c r="Q9" s="3"/>
    </row>
    <row r="10" spans="1:17" x14ac:dyDescent="0.4">
      <c r="A10" s="16"/>
      <c r="B10" s="16"/>
      <c r="C10" s="16"/>
      <c r="D10" s="16"/>
      <c r="E10" s="16"/>
      <c r="F10" s="16" t="s">
        <v>185</v>
      </c>
      <c r="G10" s="13"/>
      <c r="H10" s="16"/>
      <c r="I10" s="16"/>
      <c r="J10" s="16"/>
      <c r="K10" s="16"/>
      <c r="L10" s="16"/>
      <c r="M10" s="16"/>
      <c r="N10" s="16"/>
      <c r="O10" s="3"/>
      <c r="P10" s="3"/>
      <c r="Q10" s="3"/>
    </row>
    <row r="11" spans="1:17" x14ac:dyDescent="0.4">
      <c r="A11" s="16"/>
      <c r="B11" s="16"/>
      <c r="C11" s="16"/>
      <c r="D11" s="16"/>
      <c r="E11" s="16"/>
      <c r="F11" s="16" t="s">
        <v>186</v>
      </c>
      <c r="G11" s="13"/>
      <c r="H11" s="16"/>
      <c r="I11" s="16"/>
      <c r="J11" s="16"/>
      <c r="K11" s="16"/>
      <c r="L11" s="16"/>
      <c r="M11" s="16"/>
      <c r="N11" s="16"/>
      <c r="O11" s="3"/>
      <c r="P11" s="3"/>
      <c r="Q11" s="3"/>
    </row>
    <row r="12" spans="1:17" x14ac:dyDescent="0.4">
      <c r="A12" s="16"/>
      <c r="B12" s="16"/>
      <c r="C12" s="16"/>
      <c r="D12" s="16"/>
      <c r="E12" s="16"/>
      <c r="F12" s="16" t="s">
        <v>187</v>
      </c>
      <c r="G12" s="13"/>
      <c r="H12" s="16"/>
      <c r="I12" s="16"/>
      <c r="J12" s="16"/>
      <c r="K12" s="16"/>
      <c r="L12" s="16"/>
      <c r="M12" s="16"/>
      <c r="N12" s="16"/>
      <c r="O12" s="3"/>
      <c r="P12" s="3"/>
      <c r="Q12" s="3"/>
    </row>
    <row r="13" spans="1:17" x14ac:dyDescent="0.4">
      <c r="A13" s="16"/>
      <c r="B13" s="16"/>
      <c r="C13" s="16"/>
      <c r="D13" s="16"/>
      <c r="E13" s="16"/>
      <c r="F13" s="16" t="s">
        <v>188</v>
      </c>
      <c r="G13" s="13"/>
      <c r="H13" s="16"/>
      <c r="I13" s="16"/>
      <c r="J13" s="16"/>
      <c r="K13" s="16"/>
      <c r="L13" s="16"/>
      <c r="M13" s="16"/>
      <c r="N13" s="16"/>
      <c r="O13" s="3"/>
      <c r="P13" s="3"/>
      <c r="Q13" s="3"/>
    </row>
    <row r="14" spans="1:17" x14ac:dyDescent="0.4">
      <c r="A14" s="16"/>
      <c r="B14" s="16"/>
      <c r="C14" s="16"/>
      <c r="D14" s="16"/>
      <c r="E14" s="16" t="s">
        <v>205</v>
      </c>
      <c r="F14" s="16" t="s">
        <v>189</v>
      </c>
      <c r="G14" s="19"/>
      <c r="H14" s="16"/>
      <c r="I14" s="16"/>
      <c r="J14" s="16"/>
      <c r="K14" s="16"/>
      <c r="L14" s="16"/>
      <c r="M14" s="16"/>
      <c r="N14" s="16"/>
      <c r="O14" s="3"/>
      <c r="P14" s="3"/>
      <c r="Q14" s="3"/>
    </row>
    <row r="15" spans="1:17" x14ac:dyDescent="0.4">
      <c r="A15" s="16"/>
      <c r="B15" s="16"/>
      <c r="C15" s="16"/>
      <c r="D15" s="16"/>
      <c r="E15" s="16"/>
      <c r="F15" s="16" t="s">
        <v>190</v>
      </c>
      <c r="G15" s="19" t="s">
        <v>38</v>
      </c>
      <c r="H15" s="16"/>
      <c r="I15" s="16" t="s">
        <v>22</v>
      </c>
      <c r="J15" s="16" t="s">
        <v>164</v>
      </c>
      <c r="K15" s="16">
        <v>2000</v>
      </c>
      <c r="L15" s="16"/>
      <c r="M15" s="16"/>
      <c r="N15" s="16"/>
      <c r="O15" s="3"/>
      <c r="P15" s="3"/>
      <c r="Q15" s="3"/>
    </row>
    <row r="16" spans="1:17" x14ac:dyDescent="0.4">
      <c r="A16" s="16"/>
      <c r="B16" s="16"/>
      <c r="C16" s="16"/>
      <c r="D16" s="16"/>
      <c r="E16" s="16"/>
      <c r="F16" s="16" t="s">
        <v>194</v>
      </c>
      <c r="G16" s="19"/>
      <c r="H16" s="16"/>
      <c r="I16" s="16"/>
      <c r="J16" s="16"/>
      <c r="K16" s="16"/>
      <c r="L16" s="16"/>
      <c r="M16" s="16"/>
      <c r="N16" s="16"/>
      <c r="O16" s="3"/>
      <c r="P16" s="3"/>
      <c r="Q16" s="3"/>
    </row>
    <row r="17" spans="1:17" x14ac:dyDescent="0.4">
      <c r="A17" s="16"/>
      <c r="B17" s="16"/>
      <c r="C17" s="16"/>
      <c r="D17" s="16"/>
      <c r="E17" s="16"/>
      <c r="F17" s="16" t="s">
        <v>195</v>
      </c>
      <c r="G17" s="13"/>
      <c r="H17" s="16"/>
      <c r="I17" s="16"/>
      <c r="J17" s="16"/>
      <c r="K17" s="16"/>
      <c r="L17" s="16"/>
      <c r="M17" s="16"/>
      <c r="N17" s="16"/>
      <c r="O17" s="3"/>
      <c r="P17" s="3"/>
      <c r="Q17" s="3"/>
    </row>
    <row r="18" spans="1:17" x14ac:dyDescent="0.4">
      <c r="A18" s="16"/>
      <c r="B18" s="16"/>
      <c r="C18" s="16"/>
      <c r="D18" s="16"/>
      <c r="E18" s="16" t="s">
        <v>201</v>
      </c>
      <c r="F18" s="16" t="s">
        <v>200</v>
      </c>
      <c r="G18" s="13" t="s">
        <v>39</v>
      </c>
      <c r="H18" s="16" t="s">
        <v>202</v>
      </c>
      <c r="I18" s="16" t="s">
        <v>22</v>
      </c>
      <c r="J18" s="16"/>
      <c r="K18" s="16">
        <v>3000</v>
      </c>
      <c r="L18" s="16"/>
      <c r="M18" s="16"/>
      <c r="N18" s="16"/>
      <c r="O18" s="3"/>
      <c r="P18" s="3"/>
      <c r="Q18" s="3"/>
    </row>
    <row r="19" spans="1:17" x14ac:dyDescent="0.4">
      <c r="A19" s="16"/>
      <c r="B19" s="16"/>
      <c r="C19" s="16"/>
      <c r="D19" s="16"/>
      <c r="E19" s="16" t="s">
        <v>208</v>
      </c>
      <c r="F19" s="16" t="s">
        <v>206</v>
      </c>
      <c r="G19" s="13" t="s">
        <v>38</v>
      </c>
      <c r="H19" s="16"/>
      <c r="I19" s="16" t="s">
        <v>22</v>
      </c>
      <c r="J19" s="16"/>
      <c r="K19" s="16">
        <v>2420</v>
      </c>
      <c r="L19" s="16"/>
      <c r="M19" s="16"/>
      <c r="N19" s="16"/>
      <c r="O19" s="3"/>
      <c r="P19" s="3"/>
      <c r="Q19" s="3"/>
    </row>
    <row r="20" spans="1:17" x14ac:dyDescent="0.4">
      <c r="A20" s="16"/>
      <c r="B20" s="16"/>
      <c r="C20" s="16"/>
      <c r="D20" s="16"/>
      <c r="E20" s="16" t="s">
        <v>209</v>
      </c>
      <c r="F20" s="16" t="s">
        <v>207</v>
      </c>
      <c r="G20" s="13" t="s">
        <v>38</v>
      </c>
      <c r="H20" s="16"/>
      <c r="I20" s="16" t="s">
        <v>22</v>
      </c>
      <c r="J20" s="16"/>
      <c r="K20" s="16">
        <v>8980</v>
      </c>
      <c r="L20" s="16"/>
      <c r="M20" s="16"/>
      <c r="N20" s="16"/>
      <c r="O20" s="3"/>
      <c r="P20" s="3"/>
      <c r="Q20" s="3"/>
    </row>
    <row r="21" spans="1:17" x14ac:dyDescent="0.4">
      <c r="A21" s="16"/>
      <c r="B21" s="16"/>
      <c r="C21" s="16"/>
      <c r="D21" s="16"/>
      <c r="E21" s="16"/>
      <c r="F21" s="16"/>
      <c r="G21" s="13"/>
      <c r="H21" s="16"/>
      <c r="I21" s="16"/>
      <c r="J21" s="16"/>
      <c r="K21" s="16"/>
      <c r="L21" s="16"/>
      <c r="M21" s="16"/>
      <c r="N21" s="16"/>
      <c r="O21" s="3"/>
      <c r="P21" s="3"/>
      <c r="Q21" s="3"/>
    </row>
    <row r="22" spans="1:17" x14ac:dyDescent="0.4">
      <c r="A22" s="16"/>
      <c r="B22" s="16"/>
      <c r="C22" s="16"/>
      <c r="D22" s="16"/>
      <c r="E22" s="16"/>
      <c r="F22" s="16"/>
      <c r="G22" s="13"/>
      <c r="H22" s="16"/>
      <c r="I22" s="16"/>
      <c r="J22" s="16"/>
      <c r="K22" s="16"/>
      <c r="L22" s="16"/>
      <c r="M22" s="16"/>
      <c r="N22" s="16"/>
      <c r="O22" s="3"/>
      <c r="P22" s="3"/>
      <c r="Q22" s="3"/>
    </row>
    <row r="23" spans="1:17" x14ac:dyDescent="0.4">
      <c r="A23" s="16"/>
      <c r="B23" s="16"/>
      <c r="C23" s="16"/>
      <c r="D23" s="16"/>
      <c r="E23" s="16"/>
      <c r="F23" s="16"/>
      <c r="G23" s="13"/>
      <c r="H23" s="16"/>
      <c r="I23" s="16"/>
      <c r="J23" s="16"/>
      <c r="K23" s="16"/>
      <c r="L23" s="16"/>
      <c r="M23" s="16"/>
      <c r="N23" s="16"/>
      <c r="O23" s="3"/>
      <c r="P23" s="3"/>
      <c r="Q23" s="3"/>
    </row>
    <row r="24" spans="1:17" x14ac:dyDescent="0.4">
      <c r="A24" s="16"/>
      <c r="B24" s="16"/>
      <c r="C24" s="16"/>
      <c r="D24" s="16"/>
      <c r="E24" s="16"/>
      <c r="F24" s="16"/>
      <c r="G24" s="13"/>
      <c r="H24" s="16"/>
      <c r="I24" s="16"/>
      <c r="J24" s="16"/>
      <c r="K24" s="16"/>
      <c r="L24" s="16"/>
      <c r="M24" s="16"/>
      <c r="N24" s="16"/>
      <c r="O24" s="3"/>
      <c r="P24" s="3"/>
      <c r="Q24" s="3"/>
    </row>
    <row r="25" spans="1:17" x14ac:dyDescent="0.4">
      <c r="A25" s="16"/>
      <c r="B25" s="16"/>
      <c r="C25" s="16"/>
      <c r="D25" s="16"/>
      <c r="E25" s="16"/>
      <c r="F25" s="16"/>
      <c r="G25" s="13"/>
      <c r="H25" s="16"/>
      <c r="I25" s="16"/>
      <c r="J25" s="16"/>
      <c r="K25" s="16"/>
      <c r="L25" s="16"/>
      <c r="M25" s="16"/>
      <c r="N25" s="16"/>
      <c r="O25" s="3"/>
      <c r="P25" s="3"/>
      <c r="Q25" s="3"/>
    </row>
    <row r="26" spans="1:17" x14ac:dyDescent="0.4">
      <c r="A26" s="16"/>
      <c r="B26" s="16"/>
      <c r="C26" s="16"/>
      <c r="D26" s="16"/>
      <c r="E26" s="16"/>
      <c r="F26" s="16"/>
      <c r="G26" s="13"/>
      <c r="H26" s="16"/>
      <c r="I26" s="16"/>
      <c r="J26" s="16"/>
      <c r="K26" s="16"/>
      <c r="L26" s="16"/>
      <c r="M26" s="16"/>
      <c r="N26" s="16"/>
      <c r="O26" s="3"/>
      <c r="P26" s="3"/>
      <c r="Q26" s="3"/>
    </row>
    <row r="27" spans="1:17" x14ac:dyDescent="0.4">
      <c r="A27" s="16"/>
      <c r="B27" s="16"/>
      <c r="C27" s="16"/>
      <c r="D27" s="16"/>
      <c r="E27" s="16"/>
      <c r="F27" s="16"/>
      <c r="G27" s="13"/>
      <c r="H27" s="16"/>
      <c r="I27" s="16"/>
      <c r="J27" s="16"/>
      <c r="K27" s="16"/>
      <c r="L27" s="16"/>
      <c r="M27" s="16"/>
      <c r="N27" s="16"/>
      <c r="O27" s="3"/>
      <c r="P27" s="3"/>
      <c r="Q27" s="3"/>
    </row>
    <row r="28" spans="1:17" x14ac:dyDescent="0.4">
      <c r="A28" s="16"/>
      <c r="B28" s="16"/>
      <c r="C28" s="16"/>
      <c r="D28" s="16"/>
      <c r="E28" s="16"/>
      <c r="F28" s="16"/>
      <c r="G28" s="13"/>
      <c r="H28" s="16"/>
      <c r="I28" s="16"/>
      <c r="J28" s="16"/>
      <c r="K28" s="16"/>
      <c r="L28" s="16"/>
      <c r="M28" s="16"/>
      <c r="N28" s="16"/>
      <c r="O28" s="3"/>
      <c r="P28" s="3"/>
      <c r="Q28" s="3"/>
    </row>
    <row r="29" spans="1:17" x14ac:dyDescent="0.4">
      <c r="A29" s="16"/>
      <c r="B29" s="16"/>
      <c r="C29" s="16"/>
      <c r="D29" s="16"/>
      <c r="E29" s="16"/>
      <c r="F29" s="16"/>
      <c r="G29" s="13"/>
      <c r="H29" s="16"/>
      <c r="I29" s="16"/>
      <c r="J29" s="16"/>
      <c r="K29" s="16"/>
      <c r="L29" s="16"/>
      <c r="M29" s="16"/>
      <c r="N29" s="16"/>
      <c r="O29" s="3"/>
      <c r="P29" s="3"/>
      <c r="Q29" s="3"/>
    </row>
    <row r="30" spans="1:17" x14ac:dyDescent="0.4">
      <c r="A30" s="16"/>
      <c r="B30" s="16"/>
      <c r="C30" s="16"/>
      <c r="D30" s="16"/>
      <c r="E30" s="16"/>
      <c r="F30" s="16"/>
      <c r="G30" s="13"/>
      <c r="H30" s="16"/>
      <c r="I30" s="16"/>
      <c r="J30" s="16"/>
      <c r="K30" s="16"/>
      <c r="L30" s="16"/>
      <c r="M30" s="16"/>
      <c r="N30" s="16"/>
      <c r="O30" s="3"/>
      <c r="P30" s="3"/>
      <c r="Q30" s="3"/>
    </row>
    <row r="31" spans="1:17" x14ac:dyDescent="0.4">
      <c r="A31" s="16"/>
      <c r="B31" s="16"/>
      <c r="C31" s="16"/>
      <c r="D31" s="16"/>
      <c r="E31" s="16"/>
      <c r="F31" s="16"/>
      <c r="G31" s="13"/>
      <c r="H31" s="16"/>
      <c r="I31" s="16"/>
      <c r="J31" s="16"/>
      <c r="K31" s="16"/>
      <c r="L31" s="16"/>
      <c r="M31" s="16"/>
      <c r="N31" s="16"/>
      <c r="O31" s="3"/>
      <c r="P31" s="3"/>
      <c r="Q31" s="3"/>
    </row>
    <row r="32" spans="1:17" x14ac:dyDescent="0.4">
      <c r="A32" s="16"/>
      <c r="B32" s="16"/>
      <c r="C32" s="16"/>
      <c r="D32" s="16"/>
      <c r="E32" s="16"/>
      <c r="F32" s="16"/>
      <c r="G32" s="13"/>
      <c r="H32" s="16"/>
      <c r="I32" s="16"/>
      <c r="J32" s="16"/>
      <c r="K32" s="16"/>
      <c r="L32" s="16"/>
      <c r="M32" s="16"/>
      <c r="N32" s="16"/>
      <c r="O32" s="3"/>
      <c r="P32" s="3"/>
      <c r="Q32" s="3"/>
    </row>
    <row r="33" spans="1:17" x14ac:dyDescent="0.4">
      <c r="A33" s="16"/>
      <c r="B33" s="16"/>
      <c r="C33" s="16"/>
      <c r="D33" s="16"/>
      <c r="E33" s="16"/>
      <c r="F33" s="16"/>
      <c r="G33" s="13"/>
      <c r="H33" s="16"/>
      <c r="I33" s="16"/>
      <c r="J33" s="16"/>
      <c r="K33" s="16"/>
      <c r="L33" s="16"/>
      <c r="M33" s="16"/>
      <c r="N33" s="16"/>
      <c r="O33" s="3"/>
      <c r="P33" s="3"/>
      <c r="Q33" s="3"/>
    </row>
    <row r="34" spans="1:17" x14ac:dyDescent="0.4">
      <c r="A34" s="16"/>
      <c r="B34" s="16"/>
      <c r="C34" s="16"/>
      <c r="D34" s="16"/>
      <c r="E34" s="16"/>
      <c r="F34" s="16"/>
      <c r="G34" s="13"/>
      <c r="H34" s="16"/>
      <c r="I34" s="16"/>
      <c r="J34" s="16"/>
      <c r="K34" s="16"/>
      <c r="L34" s="16"/>
      <c r="M34" s="16"/>
      <c r="N34" s="16"/>
      <c r="O34" s="3"/>
      <c r="P34" s="3"/>
      <c r="Q34" s="3"/>
    </row>
    <row r="35" spans="1:17" x14ac:dyDescent="0.4">
      <c r="A35" s="16"/>
      <c r="B35" s="16"/>
      <c r="C35" s="16"/>
      <c r="D35" s="16"/>
      <c r="E35" s="16"/>
      <c r="F35" s="16"/>
      <c r="G35" s="13"/>
      <c r="H35" s="16"/>
      <c r="I35" s="16"/>
      <c r="J35" s="16"/>
      <c r="K35" s="16"/>
      <c r="L35" s="16"/>
      <c r="M35" s="16"/>
      <c r="N35" s="16"/>
      <c r="O35" s="3"/>
      <c r="P35" s="3"/>
      <c r="Q35" s="3"/>
    </row>
    <row r="36" spans="1:17" x14ac:dyDescent="0.4">
      <c r="A36" s="16"/>
      <c r="B36" s="16"/>
      <c r="C36" s="16"/>
      <c r="D36" s="16"/>
      <c r="E36" s="16"/>
      <c r="F36" s="16"/>
      <c r="G36" s="13"/>
      <c r="H36" s="16"/>
      <c r="I36" s="16"/>
      <c r="J36" s="16"/>
      <c r="K36" s="16"/>
      <c r="L36" s="16"/>
      <c r="M36" s="16"/>
      <c r="N36" s="16"/>
      <c r="O36" s="3"/>
      <c r="P36" s="3"/>
      <c r="Q36" s="3"/>
    </row>
    <row r="37" spans="1:17" x14ac:dyDescent="0.4">
      <c r="A37" s="16"/>
      <c r="B37" s="16"/>
      <c r="C37" s="16"/>
      <c r="D37" s="16"/>
      <c r="E37" s="16"/>
      <c r="F37" s="16"/>
      <c r="G37" s="13"/>
      <c r="H37" s="16"/>
      <c r="I37" s="16"/>
      <c r="J37" s="16"/>
      <c r="K37" s="16"/>
      <c r="L37" s="16"/>
      <c r="M37" s="16"/>
      <c r="N37" s="16"/>
      <c r="O37" s="3"/>
      <c r="P37" s="3"/>
      <c r="Q37" s="3"/>
    </row>
    <row r="38" spans="1:17" x14ac:dyDescent="0.4">
      <c r="A38" s="16"/>
      <c r="B38" s="16"/>
      <c r="C38" s="16"/>
      <c r="D38" s="16"/>
      <c r="E38" s="16"/>
      <c r="F38" s="16"/>
      <c r="G38" s="13"/>
      <c r="H38" s="16"/>
      <c r="I38" s="16"/>
      <c r="J38" s="16"/>
      <c r="K38" s="16"/>
      <c r="L38" s="16"/>
      <c r="M38" s="16"/>
      <c r="N38" s="16"/>
      <c r="O38" s="3"/>
      <c r="P38" s="3"/>
      <c r="Q38" s="3"/>
    </row>
    <row r="39" spans="1:17" x14ac:dyDescent="0.4">
      <c r="A39" s="16"/>
      <c r="B39" s="16"/>
      <c r="C39" s="16"/>
      <c r="D39" s="16"/>
      <c r="E39" s="16"/>
      <c r="F39" s="16"/>
      <c r="G39" s="13"/>
      <c r="H39" s="16"/>
      <c r="I39" s="16"/>
      <c r="J39" s="16"/>
      <c r="K39" s="16"/>
      <c r="L39" s="16"/>
      <c r="M39" s="16"/>
      <c r="N39" s="16"/>
      <c r="O39" s="3"/>
      <c r="P39" s="3"/>
      <c r="Q39" s="3"/>
    </row>
    <row r="40" spans="1:17" x14ac:dyDescent="0.4">
      <c r="A40" s="16"/>
      <c r="B40" s="16"/>
      <c r="C40" s="16"/>
      <c r="D40" s="16"/>
      <c r="E40" s="16"/>
      <c r="F40" s="16"/>
      <c r="G40" s="13"/>
      <c r="H40" s="16"/>
      <c r="I40" s="16"/>
      <c r="J40" s="16"/>
      <c r="K40" s="16"/>
      <c r="L40" s="16"/>
      <c r="M40" s="16"/>
      <c r="N40" s="16"/>
      <c r="O40" s="3"/>
      <c r="P40" s="3"/>
      <c r="Q40" s="3"/>
    </row>
    <row r="41" spans="1:17" x14ac:dyDescent="0.4">
      <c r="A41" s="16"/>
      <c r="B41" s="16"/>
      <c r="C41" s="16"/>
      <c r="D41" s="16"/>
      <c r="E41" s="16"/>
      <c r="F41" s="16"/>
      <c r="G41" s="13"/>
      <c r="H41" s="16"/>
      <c r="I41" s="16"/>
      <c r="J41" s="16"/>
      <c r="K41" s="16"/>
      <c r="L41" s="16"/>
      <c r="M41" s="16"/>
      <c r="N41" s="16"/>
      <c r="O41" s="3"/>
      <c r="P41" s="3"/>
      <c r="Q41" s="3"/>
    </row>
    <row r="42" spans="1:17" x14ac:dyDescent="0.4">
      <c r="A42" s="16"/>
      <c r="B42" s="16"/>
      <c r="C42" s="16"/>
      <c r="D42" s="16"/>
      <c r="E42" s="16"/>
      <c r="F42" s="16"/>
      <c r="G42" s="13"/>
      <c r="H42" s="16"/>
      <c r="I42" s="16"/>
      <c r="J42" s="16"/>
      <c r="K42" s="16"/>
      <c r="L42" s="16"/>
      <c r="M42" s="16"/>
      <c r="N42" s="16"/>
      <c r="O42" s="3"/>
      <c r="P42" s="3"/>
      <c r="Q42" s="3"/>
    </row>
    <row r="43" spans="1:17" x14ac:dyDescent="0.4">
      <c r="A43" s="16"/>
      <c r="B43" s="16"/>
      <c r="C43" s="16"/>
      <c r="D43" s="16"/>
      <c r="E43" s="16"/>
      <c r="F43" s="16"/>
      <c r="G43" s="13"/>
      <c r="H43" s="16"/>
      <c r="I43" s="16"/>
      <c r="J43" s="16"/>
      <c r="K43" s="16"/>
      <c r="L43" s="16"/>
      <c r="M43" s="16"/>
      <c r="N43" s="16"/>
      <c r="O43" s="3"/>
      <c r="P43" s="3"/>
      <c r="Q43" s="3"/>
    </row>
    <row r="44" spans="1:17" x14ac:dyDescent="0.4">
      <c r="A44" s="16"/>
      <c r="B44" s="16"/>
      <c r="C44" s="16"/>
      <c r="D44" s="16"/>
      <c r="E44" s="16"/>
      <c r="F44" s="16"/>
      <c r="G44" s="13"/>
      <c r="H44" s="16"/>
      <c r="I44" s="16"/>
      <c r="J44" s="16"/>
      <c r="K44" s="16"/>
      <c r="L44" s="16"/>
      <c r="M44" s="16"/>
      <c r="N44" s="16"/>
      <c r="O44" s="3"/>
      <c r="P44" s="3"/>
      <c r="Q44" s="3"/>
    </row>
    <row r="45" spans="1:17" x14ac:dyDescent="0.4">
      <c r="A45" s="16"/>
      <c r="B45" s="16"/>
      <c r="C45" s="16"/>
      <c r="D45" s="16"/>
      <c r="E45" s="16"/>
      <c r="F45" s="16"/>
      <c r="G45" s="13"/>
      <c r="H45" s="16"/>
      <c r="I45" s="16"/>
      <c r="J45" s="16"/>
      <c r="K45" s="16"/>
      <c r="L45" s="16"/>
      <c r="M45" s="16"/>
      <c r="N45" s="16"/>
      <c r="O45" s="3"/>
      <c r="P45" s="3"/>
      <c r="Q45" s="3"/>
    </row>
    <row r="46" spans="1:17" x14ac:dyDescent="0.4">
      <c r="A46" s="16"/>
      <c r="B46" s="16"/>
      <c r="C46" s="16"/>
      <c r="D46" s="16"/>
      <c r="E46" s="16"/>
      <c r="F46" s="16"/>
      <c r="G46" s="13"/>
      <c r="H46" s="16"/>
      <c r="I46" s="16"/>
      <c r="J46" s="16"/>
      <c r="K46" s="16"/>
      <c r="L46" s="16"/>
      <c r="M46" s="16"/>
      <c r="N46" s="16"/>
      <c r="O46" s="3"/>
      <c r="P46" s="3"/>
      <c r="Q46" s="3"/>
    </row>
    <row r="47" spans="1:17" x14ac:dyDescent="0.4">
      <c r="A47" s="16"/>
      <c r="B47" s="16"/>
      <c r="C47" s="16"/>
      <c r="D47" s="16"/>
      <c r="E47" s="16"/>
      <c r="F47" s="16"/>
      <c r="G47" s="13"/>
      <c r="H47" s="16"/>
      <c r="I47" s="16"/>
      <c r="J47" s="16"/>
      <c r="K47" s="16"/>
      <c r="L47" s="16"/>
      <c r="M47" s="16"/>
      <c r="N47" s="16"/>
      <c r="O47" s="3"/>
      <c r="P47" s="3"/>
      <c r="Q47" s="3"/>
    </row>
    <row r="48" spans="1:17" x14ac:dyDescent="0.4">
      <c r="A48" s="16"/>
      <c r="B48" s="16"/>
      <c r="C48" s="16"/>
      <c r="D48" s="16"/>
      <c r="E48" s="16"/>
      <c r="F48" s="16"/>
      <c r="G48" s="13"/>
      <c r="H48" s="16"/>
      <c r="I48" s="16"/>
      <c r="J48" s="16"/>
      <c r="K48" s="16"/>
      <c r="L48" s="16"/>
      <c r="M48" s="16"/>
      <c r="N48" s="16"/>
      <c r="O48" s="3"/>
      <c r="P48" s="3"/>
      <c r="Q48" s="3"/>
    </row>
    <row r="49" spans="1:17" x14ac:dyDescent="0.4">
      <c r="A49" s="16"/>
      <c r="B49" s="16"/>
      <c r="C49" s="16"/>
      <c r="D49" s="16"/>
      <c r="E49" s="16"/>
      <c r="F49" s="16"/>
      <c r="G49" s="13"/>
      <c r="H49" s="16"/>
      <c r="I49" s="16"/>
      <c r="J49" s="16"/>
      <c r="K49" s="16"/>
      <c r="L49" s="16"/>
      <c r="M49" s="16"/>
      <c r="N49" s="16"/>
      <c r="O49" s="3"/>
      <c r="P49" s="3"/>
      <c r="Q49" s="3"/>
    </row>
    <row r="50" spans="1:17" x14ac:dyDescent="0.4">
      <c r="A50" s="16"/>
      <c r="B50" s="16"/>
      <c r="C50" s="23"/>
      <c r="D50" s="13"/>
      <c r="E50" s="16"/>
      <c r="F50" s="13"/>
      <c r="G50" s="13"/>
      <c r="H50" s="13"/>
      <c r="I50" s="13"/>
      <c r="J50" s="13"/>
      <c r="K50" s="15"/>
      <c r="L50" s="13"/>
      <c r="M50" s="16"/>
      <c r="N50" s="8"/>
      <c r="O50" s="3"/>
      <c r="P50" s="3"/>
      <c r="Q50" s="3"/>
    </row>
    <row r="51" spans="1:17" x14ac:dyDescent="0.4">
      <c r="A51" s="16"/>
      <c r="B51" s="16"/>
      <c r="C51" s="18"/>
      <c r="D51" s="13"/>
      <c r="E51" s="16"/>
      <c r="F51" s="13"/>
      <c r="G51" s="13"/>
      <c r="H51" s="13"/>
      <c r="I51" s="13"/>
      <c r="J51" s="13"/>
      <c r="K51" s="15"/>
      <c r="L51" s="13"/>
      <c r="M51" s="16"/>
      <c r="N51" s="8"/>
      <c r="O51" s="3"/>
      <c r="P51" s="3"/>
      <c r="Q51" s="3"/>
    </row>
    <row r="52" spans="1:17" x14ac:dyDescent="0.4">
      <c r="A52" s="16"/>
      <c r="B52" s="16"/>
      <c r="C52" s="18"/>
      <c r="D52" s="13"/>
      <c r="E52" s="16"/>
      <c r="F52" s="13"/>
      <c r="G52" s="13"/>
      <c r="H52" s="13"/>
      <c r="I52" s="13"/>
      <c r="J52" s="13"/>
      <c r="K52" s="15"/>
      <c r="L52" s="13"/>
      <c r="M52" s="16"/>
      <c r="N52" s="8"/>
      <c r="O52" s="3"/>
      <c r="P52" s="3"/>
      <c r="Q52" s="3"/>
    </row>
    <row r="53" spans="1:17" x14ac:dyDescent="0.4">
      <c r="A53" s="16"/>
      <c r="B53" s="16"/>
      <c r="C53" s="18"/>
      <c r="D53" s="13"/>
      <c r="E53" s="16"/>
      <c r="F53" s="13"/>
      <c r="G53" s="13"/>
      <c r="H53" s="13"/>
      <c r="I53" s="13"/>
      <c r="J53" s="13"/>
      <c r="K53" s="15"/>
      <c r="L53" s="13"/>
      <c r="M53" s="16"/>
      <c r="N53" s="8"/>
      <c r="O53" s="3"/>
      <c r="P53" s="3"/>
      <c r="Q53" s="3"/>
    </row>
    <row r="54" spans="1:17" x14ac:dyDescent="0.4">
      <c r="A54" s="13"/>
      <c r="B54" s="13"/>
      <c r="C54" s="18"/>
      <c r="D54" s="13"/>
      <c r="E54" s="13"/>
      <c r="F54" s="13"/>
      <c r="G54" s="13"/>
      <c r="H54" s="13"/>
      <c r="I54" s="13"/>
      <c r="J54" s="13"/>
      <c r="K54" s="15"/>
      <c r="L54" s="13"/>
      <c r="M54" s="16"/>
      <c r="N54" s="8"/>
      <c r="O54" s="3"/>
      <c r="P54" s="3"/>
      <c r="Q54" s="3"/>
    </row>
    <row r="55" spans="1:17" x14ac:dyDescent="0.4">
      <c r="A55" s="13"/>
      <c r="B55" s="13"/>
      <c r="C55" s="18"/>
      <c r="D55" s="13"/>
      <c r="E55" s="13"/>
      <c r="F55" s="13"/>
      <c r="G55" s="13"/>
      <c r="H55" s="13"/>
      <c r="I55" s="13"/>
      <c r="J55" s="13"/>
      <c r="K55" s="15"/>
      <c r="L55" s="13"/>
      <c r="M55" s="16"/>
      <c r="N55" s="8"/>
      <c r="O55" s="3"/>
      <c r="P55" s="3"/>
      <c r="Q55" s="3"/>
    </row>
    <row r="56" spans="1:17" x14ac:dyDescent="0.4">
      <c r="A56" s="13"/>
      <c r="B56" s="13"/>
      <c r="C56" s="18"/>
      <c r="D56" s="13"/>
      <c r="E56" s="13"/>
      <c r="F56" s="13"/>
      <c r="G56" s="13"/>
      <c r="H56" s="13"/>
      <c r="I56" s="13"/>
      <c r="J56" s="13"/>
      <c r="K56" s="15"/>
      <c r="L56" s="13"/>
      <c r="M56" s="16"/>
      <c r="N56" s="8"/>
      <c r="O56" s="3"/>
      <c r="P56" s="3"/>
      <c r="Q56" s="3"/>
    </row>
    <row r="57" spans="1:17" x14ac:dyDescent="0.4">
      <c r="A57" s="13"/>
      <c r="B57" s="13"/>
      <c r="C57" s="17"/>
      <c r="D57" s="13"/>
      <c r="E57" s="13"/>
      <c r="F57" s="13"/>
      <c r="G57" s="13"/>
      <c r="H57" s="13"/>
      <c r="I57" s="13"/>
      <c r="J57" s="13"/>
      <c r="K57" s="15"/>
      <c r="L57" s="13"/>
      <c r="M57" s="16"/>
      <c r="N57" s="8"/>
      <c r="O57" s="3"/>
      <c r="P57" s="3"/>
      <c r="Q57" s="3"/>
    </row>
    <row r="58" spans="1:17" x14ac:dyDescent="0.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5"/>
      <c r="L58" s="13"/>
      <c r="M58" s="16"/>
      <c r="N58" s="8"/>
      <c r="O58" s="3"/>
      <c r="P58" s="3"/>
      <c r="Q58" s="3"/>
    </row>
    <row r="59" spans="1:17" x14ac:dyDescent="0.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5"/>
      <c r="L59" s="13"/>
      <c r="M59" s="16"/>
      <c r="N59" s="8"/>
      <c r="O59" s="3"/>
      <c r="P59" s="3"/>
      <c r="Q59" s="3"/>
    </row>
    <row r="60" spans="1:17" x14ac:dyDescent="0.4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5"/>
      <c r="L60" s="13"/>
      <c r="M60" s="16"/>
      <c r="N60" s="8"/>
      <c r="O60" s="3"/>
      <c r="P60" s="3"/>
      <c r="Q60" s="3"/>
    </row>
    <row r="61" spans="1:17" x14ac:dyDescent="0.4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5"/>
      <c r="L61" s="13"/>
      <c r="M61" s="16"/>
      <c r="N61" s="8"/>
      <c r="O61" s="3"/>
      <c r="P61" s="3"/>
      <c r="Q61" s="3"/>
    </row>
    <row r="62" spans="1:17" x14ac:dyDescent="0.4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5"/>
      <c r="L62" s="24"/>
      <c r="M62" s="16"/>
      <c r="N62" s="8"/>
      <c r="O62" s="3"/>
      <c r="P62" s="3"/>
      <c r="Q62" s="3"/>
    </row>
    <row r="63" spans="1:17" x14ac:dyDescent="0.4">
      <c r="A63" s="16"/>
      <c r="B63" s="16"/>
      <c r="C63" s="16"/>
      <c r="D63" s="13"/>
      <c r="E63" s="16"/>
      <c r="F63" s="13"/>
      <c r="G63" s="13"/>
      <c r="H63" s="13"/>
      <c r="I63" s="13"/>
      <c r="J63" s="13"/>
      <c r="K63" s="15"/>
      <c r="L63" s="13"/>
      <c r="M63" s="16"/>
      <c r="N63" s="8"/>
      <c r="O63" s="3"/>
      <c r="P63" s="3"/>
      <c r="Q63" s="3"/>
    </row>
    <row r="64" spans="1:17" x14ac:dyDescent="0.4">
      <c r="A64" s="16"/>
      <c r="B64" s="16"/>
      <c r="C64" s="16"/>
      <c r="D64" s="13"/>
      <c r="E64" s="16"/>
      <c r="F64" s="13"/>
      <c r="G64" s="13"/>
      <c r="H64" s="13"/>
      <c r="I64" s="13"/>
      <c r="J64" s="13"/>
      <c r="K64" s="15"/>
      <c r="L64" s="13"/>
      <c r="M64" s="16"/>
      <c r="N64" s="8"/>
      <c r="O64" s="3"/>
      <c r="P64" s="3"/>
      <c r="Q64" s="3"/>
    </row>
    <row r="65" spans="1:17" x14ac:dyDescent="0.4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5"/>
      <c r="L65" s="13"/>
      <c r="M65" s="16"/>
      <c r="N65" s="8"/>
      <c r="O65" s="3"/>
      <c r="P65" s="3"/>
      <c r="Q65" s="3"/>
    </row>
    <row r="66" spans="1:17" x14ac:dyDescent="0.4">
      <c r="A66" s="16"/>
      <c r="B66" s="16"/>
      <c r="C66" s="16"/>
      <c r="D66" s="13"/>
      <c r="E66" s="16"/>
      <c r="F66" s="13"/>
      <c r="G66" s="13"/>
      <c r="H66" s="13"/>
      <c r="I66" s="13"/>
      <c r="J66" s="13"/>
      <c r="K66" s="15"/>
      <c r="L66" s="13"/>
      <c r="M66" s="16"/>
      <c r="N66" s="8"/>
      <c r="O66" s="3"/>
      <c r="P66" s="3"/>
      <c r="Q66" s="3"/>
    </row>
    <row r="67" spans="1:17" x14ac:dyDescent="0.4">
      <c r="A67" s="16"/>
      <c r="B67" s="16"/>
      <c r="C67" s="16"/>
      <c r="D67" s="13"/>
      <c r="E67" s="16"/>
      <c r="F67" s="13"/>
      <c r="G67" s="13"/>
      <c r="H67" s="13"/>
      <c r="I67" s="13"/>
      <c r="J67" s="13"/>
      <c r="K67" s="15"/>
      <c r="L67" s="13"/>
      <c r="M67" s="16"/>
      <c r="N67" s="8"/>
      <c r="O67" s="3"/>
      <c r="P67" s="3"/>
      <c r="Q67" s="3"/>
    </row>
    <row r="68" spans="1:17" x14ac:dyDescent="0.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5"/>
      <c r="L68" s="13"/>
      <c r="M68" s="16"/>
      <c r="N68" s="8"/>
      <c r="O68" s="3"/>
      <c r="P68" s="3"/>
      <c r="Q68" s="3"/>
    </row>
    <row r="69" spans="1:17" x14ac:dyDescent="0.4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5"/>
      <c r="L69" s="13"/>
      <c r="M69" s="16"/>
      <c r="N69" s="8"/>
      <c r="O69" s="3"/>
      <c r="P69" s="3"/>
      <c r="Q69" s="3"/>
    </row>
    <row r="70" spans="1:17" x14ac:dyDescent="0.4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5"/>
      <c r="L70" s="13"/>
      <c r="M70" s="16"/>
      <c r="N70" s="8"/>
      <c r="O70" s="3"/>
      <c r="P70" s="3"/>
      <c r="Q70" s="3"/>
    </row>
    <row r="71" spans="1:17" x14ac:dyDescent="0.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5"/>
      <c r="L71" s="13"/>
      <c r="M71" s="16"/>
      <c r="N71" s="8"/>
      <c r="O71" s="3"/>
      <c r="P71" s="3"/>
      <c r="Q71" s="3"/>
    </row>
    <row r="72" spans="1:17" x14ac:dyDescent="0.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5"/>
      <c r="L72" s="13"/>
      <c r="M72" s="16"/>
      <c r="N72" s="8"/>
      <c r="O72" s="3"/>
      <c r="P72" s="3"/>
      <c r="Q72" s="3"/>
    </row>
    <row r="73" spans="1:17" x14ac:dyDescent="0.4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5"/>
      <c r="L73" s="13"/>
      <c r="M73" s="16"/>
      <c r="N73" s="8"/>
      <c r="O73" s="3"/>
      <c r="P73" s="3"/>
      <c r="Q73" s="3"/>
    </row>
    <row r="74" spans="1:17" x14ac:dyDescent="0.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5"/>
      <c r="L74" s="13"/>
      <c r="M74" s="16"/>
      <c r="N74" s="8"/>
      <c r="O74" s="3"/>
      <c r="P74" s="3"/>
      <c r="Q74" s="3"/>
    </row>
    <row r="75" spans="1:17" x14ac:dyDescent="0.4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5"/>
      <c r="L75" s="13"/>
      <c r="M75" s="16"/>
      <c r="N75" s="8"/>
      <c r="O75" s="3"/>
      <c r="P75" s="3"/>
      <c r="Q75" s="3"/>
    </row>
    <row r="76" spans="1:17" x14ac:dyDescent="0.4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5"/>
      <c r="L76" s="13"/>
      <c r="M76" s="16"/>
      <c r="N76" s="8"/>
      <c r="O76" s="3"/>
      <c r="P76" s="3"/>
      <c r="Q76" s="3"/>
    </row>
    <row r="77" spans="1:17" x14ac:dyDescent="0.4">
      <c r="A77" s="13"/>
      <c r="B77" s="13"/>
      <c r="C77" s="18"/>
      <c r="D77" s="13"/>
      <c r="E77" s="13"/>
      <c r="F77" s="13"/>
      <c r="G77" s="13"/>
      <c r="H77" s="13"/>
      <c r="I77" s="13"/>
      <c r="J77" s="13"/>
      <c r="K77" s="15"/>
      <c r="L77" s="13"/>
      <c r="M77" s="16"/>
      <c r="N77" s="8"/>
      <c r="O77" s="3"/>
      <c r="P77" s="3"/>
      <c r="Q77" s="3"/>
    </row>
    <row r="78" spans="1:17" x14ac:dyDescent="0.4">
      <c r="A78" s="13"/>
      <c r="B78" s="13"/>
      <c r="C78" s="21"/>
      <c r="D78" s="13"/>
      <c r="E78" s="13"/>
      <c r="F78" s="13"/>
      <c r="G78" s="13"/>
      <c r="H78" s="13"/>
      <c r="I78" s="13"/>
      <c r="J78" s="13"/>
      <c r="K78" s="15"/>
      <c r="L78" s="13"/>
      <c r="M78" s="16"/>
      <c r="N78" s="8"/>
      <c r="O78" s="3"/>
      <c r="P78" s="3"/>
      <c r="Q78" s="3"/>
    </row>
    <row r="79" spans="1:17" x14ac:dyDescent="0.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5"/>
      <c r="L79" s="13"/>
      <c r="M79" s="16"/>
      <c r="N79" s="8"/>
      <c r="O79" s="3"/>
      <c r="P79" s="3"/>
      <c r="Q79" s="3"/>
    </row>
    <row r="80" spans="1:17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4"/>
      <c r="L80" s="2"/>
      <c r="M80" s="3"/>
      <c r="N80" s="6"/>
      <c r="O80" s="3"/>
      <c r="P80" s="3"/>
      <c r="Q80" s="3"/>
    </row>
    <row r="81" spans="1:17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4"/>
      <c r="L81" s="2"/>
      <c r="M81" s="3"/>
      <c r="N81" s="6"/>
      <c r="O81" s="3"/>
      <c r="P81" s="3"/>
      <c r="Q81" s="3"/>
    </row>
    <row r="82" spans="1:17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4"/>
      <c r="L82" s="2"/>
      <c r="M82" s="3"/>
      <c r="N82" s="6"/>
      <c r="O82" s="3"/>
      <c r="P82" s="3"/>
      <c r="Q82" s="3"/>
    </row>
    <row r="83" spans="1:17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4"/>
      <c r="L83" s="2"/>
      <c r="M83" s="3"/>
      <c r="N83" s="6"/>
      <c r="O83" s="3"/>
      <c r="P83" s="3"/>
      <c r="Q83" s="3"/>
    </row>
    <row r="84" spans="1:17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4"/>
      <c r="L84" s="2"/>
      <c r="M84" s="3"/>
      <c r="N84" s="6"/>
      <c r="O84" s="3"/>
      <c r="P84" s="3"/>
      <c r="Q84" s="3"/>
    </row>
    <row r="85" spans="1:17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4"/>
      <c r="L85" s="2"/>
      <c r="M85" s="3"/>
      <c r="N85" s="6"/>
      <c r="O85" s="3"/>
      <c r="P85" s="3"/>
      <c r="Q85" s="3"/>
    </row>
    <row r="86" spans="1:17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4"/>
      <c r="L86" s="2"/>
      <c r="M86" s="3"/>
      <c r="N86" s="6"/>
      <c r="O86" s="3"/>
      <c r="P86" s="3"/>
      <c r="Q86" s="3"/>
    </row>
    <row r="87" spans="1:17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4"/>
      <c r="L87" s="2"/>
      <c r="M87" s="3"/>
      <c r="N87" s="6"/>
      <c r="O87" s="3"/>
      <c r="P87" s="3"/>
      <c r="Q87" s="3"/>
    </row>
    <row r="88" spans="1:17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4"/>
      <c r="L88" s="2"/>
      <c r="M88" s="3"/>
      <c r="N88" s="6"/>
      <c r="O88" s="3"/>
      <c r="P88" s="3"/>
      <c r="Q88" s="3"/>
    </row>
    <row r="89" spans="1:17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4"/>
      <c r="L89" s="2"/>
      <c r="M89" s="3"/>
      <c r="N89" s="6"/>
      <c r="O89" s="3"/>
      <c r="P89" s="3"/>
      <c r="Q89" s="3"/>
    </row>
    <row r="90" spans="1:17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4"/>
      <c r="L90" s="2"/>
      <c r="M90" s="3"/>
      <c r="N90" s="6"/>
      <c r="O90" s="3"/>
      <c r="P90" s="3"/>
      <c r="Q90" s="3"/>
    </row>
    <row r="91" spans="1:17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4"/>
      <c r="L91" s="2"/>
      <c r="M91" s="3"/>
      <c r="N91" s="6"/>
      <c r="O91" s="3"/>
      <c r="P91" s="3"/>
      <c r="Q91" s="3"/>
    </row>
    <row r="92" spans="1:17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4"/>
      <c r="L92" s="2"/>
      <c r="M92" s="3"/>
      <c r="N92" s="6"/>
      <c r="O92" s="3"/>
      <c r="P92" s="3"/>
      <c r="Q92" s="3"/>
    </row>
    <row r="93" spans="1:17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4"/>
      <c r="L93" s="2"/>
      <c r="M93" s="3"/>
      <c r="N93" s="6"/>
      <c r="O93" s="3"/>
      <c r="P93" s="3"/>
      <c r="Q93" s="3"/>
    </row>
    <row r="94" spans="1:17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4"/>
      <c r="L94" s="2"/>
      <c r="M94" s="3"/>
      <c r="N94" s="6"/>
      <c r="O94" s="3"/>
      <c r="P94" s="3"/>
      <c r="Q94" s="3"/>
    </row>
    <row r="95" spans="1:17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4"/>
      <c r="L95" s="2"/>
      <c r="M95" s="3"/>
      <c r="N95" s="6"/>
      <c r="O95" s="3"/>
      <c r="P95" s="3"/>
      <c r="Q95" s="3"/>
    </row>
    <row r="96" spans="1:17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4"/>
      <c r="L96" s="2"/>
      <c r="M96" s="3"/>
      <c r="N96" s="6"/>
      <c r="O96" s="3"/>
      <c r="P96" s="3"/>
      <c r="Q96" s="3"/>
    </row>
    <row r="97" spans="1:17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4"/>
      <c r="L97" s="2"/>
      <c r="M97" s="3"/>
      <c r="N97" s="6"/>
      <c r="O97" s="3"/>
      <c r="P97" s="3"/>
      <c r="Q97" s="3"/>
    </row>
    <row r="98" spans="1:17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4"/>
      <c r="L98" s="2"/>
      <c r="M98" s="3"/>
      <c r="N98" s="6"/>
      <c r="O98" s="3"/>
      <c r="P98" s="3"/>
      <c r="Q98" s="3"/>
    </row>
    <row r="99" spans="1:17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4"/>
      <c r="L99" s="2"/>
      <c r="M99" s="3"/>
      <c r="N99" s="6"/>
      <c r="O99" s="3"/>
      <c r="P99" s="3"/>
      <c r="Q99" s="3"/>
    </row>
    <row r="100" spans="1:17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2"/>
      <c r="M100" s="3"/>
      <c r="N100" s="6"/>
      <c r="O100" s="3"/>
      <c r="P100" s="3"/>
      <c r="Q100" s="3"/>
    </row>
    <row r="101" spans="1:17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2"/>
      <c r="M101" s="3"/>
      <c r="N101" s="6"/>
      <c r="O101" s="3"/>
      <c r="P101" s="3"/>
      <c r="Q101" s="3"/>
    </row>
    <row r="102" spans="1:17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2"/>
      <c r="M102" s="3"/>
      <c r="N102" s="6"/>
      <c r="O102" s="3"/>
      <c r="P102" s="3"/>
      <c r="Q102" s="3"/>
    </row>
    <row r="103" spans="1:17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2"/>
      <c r="M103" s="3"/>
      <c r="N103" s="6"/>
      <c r="O103" s="3"/>
      <c r="P103" s="3"/>
      <c r="Q103" s="3"/>
    </row>
    <row r="104" spans="1:17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2"/>
      <c r="M104" s="3"/>
      <c r="N104" s="6"/>
      <c r="O104" s="3"/>
      <c r="P104" s="3"/>
      <c r="Q104" s="3"/>
    </row>
    <row r="105" spans="1:17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2"/>
      <c r="M105" s="3"/>
      <c r="N105" s="6"/>
      <c r="O105" s="3"/>
      <c r="P105" s="3"/>
      <c r="Q105" s="3"/>
    </row>
    <row r="106" spans="1:17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2"/>
      <c r="M106" s="3"/>
      <c r="N106" s="6"/>
      <c r="O106" s="3"/>
      <c r="P106" s="3"/>
      <c r="Q106" s="3"/>
    </row>
    <row r="107" spans="1:17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2"/>
      <c r="M107" s="3"/>
      <c r="N107" s="6"/>
      <c r="O107" s="3"/>
      <c r="P107" s="3"/>
      <c r="Q107" s="3"/>
    </row>
    <row r="108" spans="1:17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2"/>
      <c r="M108" s="3"/>
      <c r="N108" s="6"/>
      <c r="O108" s="3"/>
      <c r="P108" s="3"/>
      <c r="Q108" s="3"/>
    </row>
    <row r="109" spans="1:17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2"/>
      <c r="M109" s="3"/>
      <c r="N109" s="6"/>
      <c r="O109" s="3"/>
      <c r="P109" s="3"/>
      <c r="Q109" s="3"/>
    </row>
    <row r="110" spans="1:17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2"/>
      <c r="M110" s="3"/>
      <c r="N110" s="6"/>
      <c r="O110" s="3"/>
      <c r="P110" s="3"/>
      <c r="Q110" s="3"/>
    </row>
    <row r="111" spans="1:17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2"/>
      <c r="M111" s="3"/>
      <c r="N111" s="6"/>
      <c r="O111" s="3"/>
      <c r="P111" s="3"/>
      <c r="Q111" s="3"/>
    </row>
    <row r="112" spans="1:17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2"/>
      <c r="M112" s="3"/>
      <c r="N112" s="6"/>
      <c r="O112" s="3"/>
      <c r="P112" s="3"/>
      <c r="Q112" s="3"/>
    </row>
    <row r="113" spans="1:17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2"/>
      <c r="M113" s="3"/>
      <c r="N113" s="6"/>
      <c r="O113" s="3"/>
      <c r="P113" s="3"/>
      <c r="Q113" s="3"/>
    </row>
    <row r="114" spans="1:17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2"/>
      <c r="M114" s="3"/>
      <c r="N114" s="6"/>
      <c r="O114" s="3"/>
      <c r="P114" s="3"/>
      <c r="Q114" s="3"/>
    </row>
    <row r="115" spans="1:17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2"/>
      <c r="M115" s="3"/>
      <c r="N115" s="6"/>
      <c r="O115" s="3"/>
      <c r="P115" s="3"/>
      <c r="Q115" s="3"/>
    </row>
    <row r="116" spans="1:17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2"/>
      <c r="M116" s="3"/>
      <c r="N116" s="6"/>
      <c r="O116" s="3"/>
      <c r="P116" s="3"/>
      <c r="Q116" s="3"/>
    </row>
    <row r="117" spans="1:17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2"/>
      <c r="M117" s="3"/>
      <c r="N117" s="6"/>
      <c r="O117" s="3"/>
      <c r="P117" s="3"/>
      <c r="Q117" s="3"/>
    </row>
    <row r="118" spans="1:17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2"/>
      <c r="M118" s="3"/>
      <c r="N118" s="6"/>
      <c r="O118" s="3"/>
      <c r="P118" s="3"/>
      <c r="Q118" s="3"/>
    </row>
    <row r="119" spans="1:17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2"/>
      <c r="M119" s="3"/>
      <c r="N119" s="6"/>
      <c r="O119" s="3"/>
      <c r="P119" s="3"/>
      <c r="Q119" s="3"/>
    </row>
    <row r="120" spans="1:17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2"/>
      <c r="M120" s="3"/>
      <c r="N120" s="6"/>
      <c r="O120" s="3"/>
      <c r="P120" s="3"/>
      <c r="Q120" s="3"/>
    </row>
    <row r="121" spans="1:17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2"/>
      <c r="M121" s="3"/>
      <c r="N121" s="6"/>
      <c r="O121" s="3"/>
      <c r="P121" s="3"/>
      <c r="Q121" s="3"/>
    </row>
    <row r="122" spans="1:17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2"/>
      <c r="M122" s="3"/>
      <c r="N122" s="6"/>
      <c r="O122" s="3"/>
      <c r="P122" s="3"/>
      <c r="Q122" s="3"/>
    </row>
    <row r="123" spans="1:17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2"/>
      <c r="M123" s="3"/>
      <c r="N123" s="6"/>
      <c r="O123" s="3"/>
      <c r="P123" s="3"/>
      <c r="Q123" s="3"/>
    </row>
    <row r="124" spans="1:17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2"/>
      <c r="M124" s="3"/>
      <c r="N124" s="6"/>
      <c r="O124" s="3"/>
      <c r="P124" s="3"/>
      <c r="Q124" s="3"/>
    </row>
    <row r="125" spans="1:17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2"/>
      <c r="M125" s="3"/>
      <c r="N125" s="6"/>
      <c r="O125" s="3"/>
      <c r="P125" s="3"/>
      <c r="Q125" s="3"/>
    </row>
    <row r="126" spans="1:17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2"/>
      <c r="M126" s="3"/>
      <c r="N126" s="6"/>
      <c r="O126" s="3"/>
      <c r="P126" s="3"/>
      <c r="Q126" s="3"/>
    </row>
    <row r="127" spans="1:17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2"/>
      <c r="M127" s="3"/>
      <c r="N127" s="6"/>
      <c r="O127" s="3"/>
      <c r="P127" s="3"/>
      <c r="Q127" s="3"/>
    </row>
    <row r="128" spans="1:17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2"/>
      <c r="M128" s="3"/>
      <c r="N128" s="6"/>
      <c r="O128" s="3"/>
      <c r="P128" s="3"/>
      <c r="Q128" s="3"/>
    </row>
    <row r="129" spans="1:17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2"/>
      <c r="M129" s="3"/>
      <c r="N129" s="6"/>
      <c r="O129" s="3"/>
      <c r="P129" s="3"/>
      <c r="Q129" s="3"/>
    </row>
    <row r="130" spans="1:17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2"/>
      <c r="M130" s="3"/>
      <c r="N130" s="6"/>
      <c r="O130" s="3"/>
      <c r="P130" s="3"/>
      <c r="Q130" s="3"/>
    </row>
    <row r="131" spans="1:17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2"/>
      <c r="M131" s="3"/>
      <c r="N131" s="6"/>
      <c r="O131" s="3"/>
      <c r="P131" s="3"/>
      <c r="Q131" s="3"/>
    </row>
    <row r="132" spans="1:17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2"/>
      <c r="M132" s="3"/>
      <c r="N132" s="6"/>
      <c r="O132" s="3"/>
      <c r="P132" s="3"/>
      <c r="Q132" s="3"/>
    </row>
    <row r="133" spans="1:17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2"/>
      <c r="M133" s="3"/>
      <c r="N133" s="6"/>
      <c r="O133" s="3"/>
      <c r="P133" s="3"/>
      <c r="Q133" s="3"/>
    </row>
    <row r="134" spans="1:17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2"/>
      <c r="M134" s="3"/>
      <c r="N134" s="6"/>
      <c r="O134" s="3"/>
      <c r="P134" s="3"/>
      <c r="Q134" s="3"/>
    </row>
    <row r="135" spans="1:17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2"/>
      <c r="M135" s="3"/>
      <c r="N135" s="6"/>
      <c r="O135" s="3"/>
      <c r="P135" s="3"/>
      <c r="Q135" s="3"/>
    </row>
    <row r="136" spans="1:17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2"/>
      <c r="M136" s="3"/>
      <c r="N136" s="6"/>
      <c r="O136" s="3"/>
      <c r="P136" s="3"/>
      <c r="Q136" s="3"/>
    </row>
    <row r="137" spans="1:17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2"/>
      <c r="M137" s="3"/>
      <c r="N137" s="6"/>
      <c r="O137" s="3"/>
      <c r="P137" s="3"/>
      <c r="Q137" s="3"/>
    </row>
    <row r="138" spans="1:17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2"/>
      <c r="M138" s="3"/>
      <c r="N138" s="6"/>
      <c r="O138" s="3"/>
      <c r="P138" s="3"/>
      <c r="Q138" s="3"/>
    </row>
    <row r="139" spans="1:17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2"/>
      <c r="M139" s="3"/>
      <c r="N139" s="6"/>
      <c r="O139" s="3"/>
      <c r="P139" s="3"/>
      <c r="Q139" s="3"/>
    </row>
    <row r="140" spans="1:17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2"/>
      <c r="M140" s="3"/>
      <c r="N140" s="6"/>
      <c r="O140" s="3"/>
      <c r="P140" s="3"/>
      <c r="Q140" s="3"/>
    </row>
    <row r="141" spans="1:17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2"/>
      <c r="M141" s="3"/>
      <c r="N141" s="6"/>
      <c r="O141" s="3"/>
      <c r="P141" s="3"/>
      <c r="Q141" s="3"/>
    </row>
    <row r="142" spans="1:17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2"/>
      <c r="M142" s="3"/>
      <c r="N142" s="6"/>
      <c r="O142" s="3"/>
      <c r="P142" s="3"/>
      <c r="Q142" s="3"/>
    </row>
    <row r="143" spans="1:17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2"/>
      <c r="M143" s="3"/>
      <c r="N143" s="6"/>
      <c r="O143" s="3"/>
      <c r="P143" s="3"/>
      <c r="Q143" s="3"/>
    </row>
    <row r="144" spans="1:17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2"/>
      <c r="M144" s="3"/>
      <c r="N144" s="6"/>
      <c r="O144" s="3"/>
      <c r="P144" s="3"/>
      <c r="Q144" s="3"/>
    </row>
    <row r="145" spans="1:17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2"/>
      <c r="M145" s="3"/>
      <c r="N145" s="6"/>
      <c r="O145" s="3"/>
      <c r="P145" s="3"/>
      <c r="Q145" s="3"/>
    </row>
    <row r="146" spans="1:17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2"/>
      <c r="M146" s="3"/>
      <c r="N146" s="6"/>
      <c r="O146" s="3"/>
      <c r="P146" s="3"/>
      <c r="Q146" s="3"/>
    </row>
    <row r="147" spans="1:17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2"/>
      <c r="M147" s="3"/>
      <c r="N147" s="6"/>
      <c r="O147" s="3"/>
      <c r="P147" s="3"/>
      <c r="Q147" s="3"/>
    </row>
    <row r="148" spans="1:17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2"/>
      <c r="M148" s="3"/>
      <c r="N148" s="6"/>
      <c r="O148" s="3"/>
      <c r="P148" s="3"/>
      <c r="Q148" s="3"/>
    </row>
    <row r="149" spans="1:17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2"/>
      <c r="M149" s="3"/>
      <c r="N149" s="6"/>
      <c r="O149" s="3"/>
      <c r="P149" s="3"/>
      <c r="Q149" s="3"/>
    </row>
    <row r="150" spans="1:17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2"/>
      <c r="M150" s="3"/>
      <c r="N150" s="6"/>
      <c r="O150" s="3"/>
      <c r="P150" s="3"/>
      <c r="Q150" s="3"/>
    </row>
    <row r="151" spans="1:17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2"/>
      <c r="M151" s="3"/>
      <c r="N151" s="6"/>
      <c r="O151" s="3"/>
      <c r="P151" s="3"/>
      <c r="Q151" s="3"/>
    </row>
    <row r="152" spans="1:17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2"/>
      <c r="M152" s="3"/>
      <c r="N152" s="6"/>
      <c r="O152" s="3"/>
      <c r="P152" s="3"/>
      <c r="Q152" s="3"/>
    </row>
    <row r="153" spans="1:17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2"/>
      <c r="M153" s="3"/>
      <c r="N153" s="6"/>
      <c r="O153" s="3"/>
      <c r="P153" s="3"/>
      <c r="Q153" s="3"/>
    </row>
    <row r="154" spans="1:17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2"/>
      <c r="M154" s="3"/>
      <c r="N154" s="6"/>
      <c r="O154" s="3"/>
      <c r="P154" s="3"/>
      <c r="Q154" s="3"/>
    </row>
    <row r="155" spans="1:17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2"/>
      <c r="M155" s="3"/>
      <c r="N155" s="6"/>
      <c r="O155" s="3"/>
      <c r="P155" s="3"/>
      <c r="Q155" s="3"/>
    </row>
    <row r="156" spans="1:17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2"/>
      <c r="M156" s="3"/>
      <c r="N156" s="6"/>
      <c r="O156" s="3"/>
      <c r="P156" s="3"/>
      <c r="Q156" s="3"/>
    </row>
    <row r="157" spans="1:17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2"/>
      <c r="M157" s="3"/>
      <c r="N157" s="6"/>
      <c r="O157" s="3"/>
      <c r="P157" s="3"/>
      <c r="Q157" s="3"/>
    </row>
    <row r="158" spans="1:17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2"/>
      <c r="M158" s="3"/>
      <c r="N158" s="6"/>
      <c r="O158" s="3"/>
      <c r="P158" s="3"/>
      <c r="Q158" s="3"/>
    </row>
    <row r="159" spans="1:17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2"/>
      <c r="M159" s="3"/>
      <c r="N159" s="6"/>
      <c r="O159" s="3"/>
      <c r="P159" s="3"/>
      <c r="Q159" s="3"/>
    </row>
    <row r="160" spans="1:17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2"/>
      <c r="M160" s="3"/>
      <c r="N160" s="6"/>
      <c r="O160" s="3"/>
      <c r="P160" s="3"/>
      <c r="Q160" s="3"/>
    </row>
  </sheetData>
  <autoFilter ref="D1:D160" xr:uid="{6B68D0D4-B4C4-463D-AC34-C58EC6BEBEE3}"/>
  <mergeCells count="2">
    <mergeCell ref="A1:C1"/>
    <mergeCell ref="E1:L1"/>
  </mergeCells>
  <phoneticPr fontId="1"/>
  <pageMargins left="0.25" right="0.25" top="0.75" bottom="0.75" header="0.3" footer="0.3"/>
  <pageSetup paperSize="9" scale="43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E2D023A-8B14-48A3-89E1-F6FF8958E31C}">
          <x14:formula1>
            <xm:f>Sheet2!$E$3:$E$22</xm:f>
          </x14:formula1>
          <xm:sqref>J3:J1048576</xm:sqref>
        </x14:dataValidation>
        <x14:dataValidation type="list" allowBlank="1" showInputMessage="1" showErrorMessage="1" xr:uid="{D1E11738-BDE5-43F6-B42E-D5404A406F3E}">
          <x14:formula1>
            <xm:f>Sheet2!$D$3:$D$7</xm:f>
          </x14:formula1>
          <xm:sqref>I3:I1048576</xm:sqref>
        </x14:dataValidation>
        <x14:dataValidation type="list" allowBlank="1" showInputMessage="1" showErrorMessage="1" xr:uid="{5C404984-985F-4372-BAB9-1B6016287A22}">
          <x14:formula1>
            <xm:f>Sheet2!$F$3:$F$6</xm:f>
          </x14:formula1>
          <xm:sqref>L50:L1048576</xm:sqref>
        </x14:dataValidation>
        <x14:dataValidation type="list" allowBlank="1" showInputMessage="1" showErrorMessage="1" xr:uid="{84171AC4-74A6-44EF-B1EC-01E4ADEC2D6E}">
          <x14:formula1>
            <xm:f>Sheet2!$C$3:$C$7</xm:f>
          </x14:formula1>
          <xm:sqref>G3:G1048576</xm:sqref>
        </x14:dataValidation>
        <x14:dataValidation type="list" allowBlank="1" showInputMessage="1" showErrorMessage="1" xr:uid="{C701D6C1-CAAF-4E49-831E-8DA03B760874}">
          <x14:formula1>
            <xm:f>Sheet2!$A$3:$A$5</xm:f>
          </x14:formula1>
          <xm:sqref>A50:A1048576</xm:sqref>
        </x14:dataValidation>
        <x14:dataValidation type="list" allowBlank="1" showInputMessage="1" showErrorMessage="1" xr:uid="{6A9C4B50-44BE-45D1-B7E2-39070EECC185}">
          <x14:formula1>
            <xm:f>Sheet2!$B$3:$B$8</xm:f>
          </x14:formula1>
          <xm:sqref>D50:D1048576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43CF-3A2E-4465-9C21-8678BE10FDE6}">
  <sheetPr codeName="Sheet3"/>
  <dimension ref="A2:F22"/>
  <sheetViews>
    <sheetView workbookViewId="0">
      <selection activeCell="B6" sqref="B6"/>
    </sheetView>
  </sheetViews>
  <sheetFormatPr defaultRowHeight="18.75" x14ac:dyDescent="0.4"/>
  <cols>
    <col min="5" max="5" width="23.25" bestFit="1" customWidth="1"/>
  </cols>
  <sheetData>
    <row r="2" spans="1:6" x14ac:dyDescent="0.4">
      <c r="A2" t="s">
        <v>3</v>
      </c>
      <c r="B2" t="s">
        <v>6</v>
      </c>
      <c r="C2" t="s">
        <v>9</v>
      </c>
      <c r="D2" t="s">
        <v>43</v>
      </c>
      <c r="E2" t="s">
        <v>41</v>
      </c>
      <c r="F2" t="s">
        <v>11</v>
      </c>
    </row>
    <row r="3" spans="1:6" x14ac:dyDescent="0.4">
      <c r="A3" t="s">
        <v>33</v>
      </c>
      <c r="B3" t="s">
        <v>16</v>
      </c>
      <c r="C3" t="s">
        <v>38</v>
      </c>
      <c r="D3" t="s">
        <v>22</v>
      </c>
      <c r="E3" t="s">
        <v>47</v>
      </c>
      <c r="F3" t="s">
        <v>55</v>
      </c>
    </row>
    <row r="4" spans="1:6" x14ac:dyDescent="0.4">
      <c r="A4" t="s">
        <v>34</v>
      </c>
      <c r="B4" t="s">
        <v>184</v>
      </c>
      <c r="C4" t="s">
        <v>39</v>
      </c>
      <c r="D4" t="s">
        <v>18</v>
      </c>
      <c r="E4" t="s">
        <v>29</v>
      </c>
      <c r="F4" t="s">
        <v>54</v>
      </c>
    </row>
    <row r="5" spans="1:6" x14ac:dyDescent="0.4">
      <c r="A5" t="s">
        <v>13</v>
      </c>
      <c r="B5" t="s">
        <v>215</v>
      </c>
      <c r="C5" t="s">
        <v>35</v>
      </c>
      <c r="D5" t="s">
        <v>27</v>
      </c>
      <c r="E5" t="s">
        <v>73</v>
      </c>
      <c r="F5" t="s">
        <v>56</v>
      </c>
    </row>
    <row r="6" spans="1:6" x14ac:dyDescent="0.4">
      <c r="B6" t="s">
        <v>23</v>
      </c>
      <c r="C6" t="s">
        <v>36</v>
      </c>
      <c r="D6" t="s">
        <v>20</v>
      </c>
      <c r="E6" t="s">
        <v>62</v>
      </c>
      <c r="F6" t="s">
        <v>31</v>
      </c>
    </row>
    <row r="7" spans="1:6" x14ac:dyDescent="0.4">
      <c r="B7" t="s">
        <v>26</v>
      </c>
      <c r="C7" t="s">
        <v>37</v>
      </c>
      <c r="D7" t="s">
        <v>42</v>
      </c>
      <c r="E7" t="s">
        <v>74</v>
      </c>
    </row>
    <row r="8" spans="1:6" x14ac:dyDescent="0.4">
      <c r="B8" t="s">
        <v>24</v>
      </c>
      <c r="E8" t="s">
        <v>76</v>
      </c>
    </row>
    <row r="9" spans="1:6" x14ac:dyDescent="0.4">
      <c r="E9" t="s">
        <v>15</v>
      </c>
    </row>
    <row r="10" spans="1:6" x14ac:dyDescent="0.4">
      <c r="E10" t="s">
        <v>44</v>
      </c>
    </row>
    <row r="11" spans="1:6" x14ac:dyDescent="0.4">
      <c r="E11" t="s">
        <v>32</v>
      </c>
    </row>
    <row r="12" spans="1:6" x14ac:dyDescent="0.4">
      <c r="E12" t="s">
        <v>48</v>
      </c>
    </row>
    <row r="13" spans="1:6" x14ac:dyDescent="0.4">
      <c r="E13" t="s">
        <v>49</v>
      </c>
    </row>
    <row r="14" spans="1:6" x14ac:dyDescent="0.4">
      <c r="E14" t="s">
        <v>50</v>
      </c>
    </row>
    <row r="15" spans="1:6" x14ac:dyDescent="0.4">
      <c r="E15" t="s">
        <v>51</v>
      </c>
    </row>
    <row r="16" spans="1:6" x14ac:dyDescent="0.4">
      <c r="E16" t="s">
        <v>45</v>
      </c>
    </row>
    <row r="17" spans="5:5" x14ac:dyDescent="0.4">
      <c r="E17" t="s">
        <v>52</v>
      </c>
    </row>
    <row r="18" spans="5:5" x14ac:dyDescent="0.4">
      <c r="E18" t="s">
        <v>53</v>
      </c>
    </row>
    <row r="19" spans="5:5" x14ac:dyDescent="0.4">
      <c r="E19" t="s">
        <v>42</v>
      </c>
    </row>
    <row r="20" spans="5:5" x14ac:dyDescent="0.4">
      <c r="E20" t="s">
        <v>14</v>
      </c>
    </row>
    <row r="21" spans="5:5" x14ac:dyDescent="0.4">
      <c r="E21" t="s">
        <v>46</v>
      </c>
    </row>
    <row r="22" spans="5:5" x14ac:dyDescent="0.4">
      <c r="E22" t="s">
        <v>37</v>
      </c>
    </row>
  </sheetData>
  <customSheetViews>
    <customSheetView guid="{36A2511D-61A6-43A6-8702-C203B803AC12}">
      <selection activeCell="B2" sqref="B2"/>
      <pageMargins left="0.7" right="0.7" top="0.75" bottom="0.75" header="0.3" footer="0.3"/>
    </customSheetView>
  </customSheetView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ゲムマ2025秋</vt:lpstr>
      <vt:lpstr>ゲムマとは別</vt:lpstr>
      <vt:lpstr>Sheet2</vt:lpstr>
      <vt:lpstr>ゲムマ2025秋!Print_Area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彩音 中村</dc:creator>
  <cp:keywords/>
  <dc:description/>
  <cp:lastModifiedBy>彩音 中村</cp:lastModifiedBy>
  <cp:revision/>
  <cp:lastPrinted>2025-11-14T23:36:17Z</cp:lastPrinted>
  <dcterms:created xsi:type="dcterms:W3CDTF">2024-10-26T01:07:01Z</dcterms:created>
  <dcterms:modified xsi:type="dcterms:W3CDTF">2025-11-20T02:44:01Z</dcterms:modified>
  <cp:category/>
  <cp:contentStatus/>
</cp:coreProperties>
</file>